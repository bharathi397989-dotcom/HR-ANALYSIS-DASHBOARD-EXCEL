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istrator\Desktop\"/>
    </mc:Choice>
  </mc:AlternateContent>
  <bookViews>
    <workbookView xWindow="-120" yWindow="-120" windowWidth="20730" windowHeight="11160" activeTab="3"/>
  </bookViews>
  <sheets>
    <sheet name="Sheet3" sheetId="6" r:id="rId1"/>
    <sheet name="Sheet2" sheetId="2" r:id="rId2"/>
    <sheet name="Sheet1" sheetId="1" r:id="rId3"/>
    <sheet name="Sheet5" sheetId="5" r:id="rId4"/>
  </sheets>
  <externalReferences>
    <externalReference r:id="rId5"/>
  </externalReferences>
  <definedNames>
    <definedName name="Slicer_Department">#N/A</definedName>
    <definedName name="Slicer_Education">#N/A</definedName>
    <definedName name="Slicer_Gender">#N/A</definedName>
  </definedNames>
  <calcPr calcId="152511"/>
  <pivotCaches>
    <pivotCache cacheId="5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1" i="1" l="1"/>
  <c r="S21" i="1" s="1"/>
  <c r="I22" i="1"/>
  <c r="S22" i="1" s="1"/>
  <c r="I23" i="1"/>
  <c r="S23" i="1" s="1"/>
  <c r="I24" i="1"/>
  <c r="S24" i="1" s="1"/>
  <c r="I25" i="1"/>
  <c r="S25" i="1" s="1"/>
  <c r="I26" i="1"/>
  <c r="S26" i="1" s="1"/>
  <c r="I27" i="1"/>
  <c r="S27" i="1" s="1"/>
  <c r="I28" i="1"/>
  <c r="S28" i="1" s="1"/>
  <c r="I29" i="1"/>
  <c r="S29" i="1" s="1"/>
  <c r="I30" i="1"/>
  <c r="S30" i="1" s="1"/>
  <c r="I31" i="1"/>
  <c r="S31" i="1" s="1"/>
  <c r="I32" i="1"/>
  <c r="S32" i="1" s="1"/>
  <c r="I33" i="1"/>
  <c r="S33" i="1" s="1"/>
  <c r="I34" i="1"/>
  <c r="S34" i="1" s="1"/>
  <c r="I35" i="1"/>
  <c r="S35" i="1" s="1"/>
  <c r="I36" i="1"/>
  <c r="S36" i="1" s="1"/>
  <c r="I37" i="1"/>
  <c r="S37" i="1" s="1"/>
  <c r="I38" i="1"/>
  <c r="S38" i="1" s="1"/>
  <c r="I39" i="1"/>
  <c r="S39" i="1" s="1"/>
  <c r="I40" i="1"/>
  <c r="S40" i="1" s="1"/>
  <c r="I41" i="1"/>
  <c r="S41" i="1" s="1"/>
  <c r="I42" i="1"/>
  <c r="S42" i="1" s="1"/>
  <c r="I43" i="1"/>
  <c r="S43" i="1" s="1"/>
  <c r="I44" i="1"/>
  <c r="S44" i="1" s="1"/>
  <c r="I45" i="1"/>
  <c r="S45" i="1" s="1"/>
  <c r="I46" i="1"/>
  <c r="S46" i="1" s="1"/>
  <c r="I47" i="1"/>
  <c r="S47" i="1" s="1"/>
  <c r="I48" i="1"/>
  <c r="S48" i="1" s="1"/>
  <c r="I49" i="1"/>
  <c r="S49" i="1" s="1"/>
  <c r="I50" i="1"/>
  <c r="S50" i="1" s="1"/>
  <c r="I51" i="1"/>
  <c r="S51" i="1" s="1"/>
  <c r="I52" i="1"/>
  <c r="S52" i="1" s="1"/>
  <c r="I53" i="1"/>
  <c r="S53" i="1" s="1"/>
  <c r="I54" i="1"/>
  <c r="S54" i="1" s="1"/>
  <c r="I55" i="1"/>
  <c r="S55" i="1" s="1"/>
  <c r="I56" i="1"/>
  <c r="S56" i="1" s="1"/>
  <c r="I57" i="1"/>
  <c r="S57" i="1" s="1"/>
  <c r="I58" i="1"/>
  <c r="S58" i="1" s="1"/>
  <c r="I59" i="1"/>
  <c r="S59" i="1" s="1"/>
  <c r="I60" i="1"/>
  <c r="S60" i="1" s="1"/>
  <c r="I61" i="1"/>
  <c r="S61" i="1" s="1"/>
  <c r="I62" i="1"/>
  <c r="S62" i="1" s="1"/>
  <c r="I63" i="1"/>
  <c r="S63" i="1" s="1"/>
  <c r="I64" i="1"/>
  <c r="S64" i="1" s="1"/>
  <c r="I65" i="1"/>
  <c r="S65" i="1" s="1"/>
  <c r="I66" i="1"/>
  <c r="S66" i="1" s="1"/>
  <c r="I67" i="1"/>
  <c r="S67" i="1" s="1"/>
  <c r="I68" i="1"/>
  <c r="S68" i="1" s="1"/>
  <c r="I69" i="1"/>
  <c r="S69" i="1" s="1"/>
  <c r="I70" i="1"/>
  <c r="S70" i="1" s="1"/>
  <c r="I71" i="1"/>
  <c r="S71" i="1" s="1"/>
  <c r="I72" i="1"/>
  <c r="S72" i="1" s="1"/>
  <c r="I73" i="1"/>
  <c r="S73" i="1" s="1"/>
  <c r="I74" i="1"/>
  <c r="S74" i="1" s="1"/>
  <c r="I75" i="1"/>
  <c r="S75" i="1" s="1"/>
  <c r="I76" i="1"/>
  <c r="S76" i="1" s="1"/>
  <c r="I77" i="1"/>
  <c r="S77" i="1" s="1"/>
  <c r="I78" i="1"/>
  <c r="S78" i="1" s="1"/>
  <c r="I79" i="1"/>
  <c r="S79" i="1" s="1"/>
  <c r="I80" i="1"/>
  <c r="S80" i="1" s="1"/>
  <c r="I81" i="1"/>
  <c r="S81" i="1" s="1"/>
  <c r="I82" i="1"/>
  <c r="S82" i="1" s="1"/>
  <c r="I83" i="1"/>
  <c r="S83" i="1" s="1"/>
  <c r="I84" i="1"/>
  <c r="S84" i="1" s="1"/>
  <c r="I85" i="1"/>
  <c r="S85" i="1" s="1"/>
  <c r="I86" i="1"/>
  <c r="S86" i="1" s="1"/>
  <c r="I87" i="1"/>
  <c r="S87" i="1" s="1"/>
  <c r="I88" i="1"/>
  <c r="S88" i="1" s="1"/>
  <c r="I89" i="1"/>
  <c r="S89" i="1" s="1"/>
  <c r="I90" i="1"/>
  <c r="S90" i="1" s="1"/>
  <c r="I91" i="1"/>
  <c r="S91" i="1" s="1"/>
  <c r="I92" i="1"/>
  <c r="S92" i="1" s="1"/>
  <c r="I93" i="1"/>
  <c r="S93" i="1" s="1"/>
  <c r="I94" i="1"/>
  <c r="S94" i="1" s="1"/>
  <c r="I95" i="1"/>
  <c r="S95" i="1" s="1"/>
  <c r="I96" i="1"/>
  <c r="S96" i="1" s="1"/>
  <c r="I97" i="1"/>
  <c r="S97" i="1" s="1"/>
  <c r="I98" i="1"/>
  <c r="S98" i="1" s="1"/>
  <c r="I99" i="1"/>
  <c r="S99" i="1" s="1"/>
  <c r="I100" i="1"/>
  <c r="S100" i="1" s="1"/>
  <c r="I101" i="1"/>
  <c r="S101" i="1" s="1"/>
  <c r="I102" i="1"/>
  <c r="S102" i="1" s="1"/>
  <c r="I103" i="1"/>
  <c r="S103" i="1" s="1"/>
  <c r="I104" i="1"/>
  <c r="S104" i="1" s="1"/>
  <c r="I105" i="1"/>
  <c r="S105" i="1" s="1"/>
  <c r="I106" i="1"/>
  <c r="S106" i="1" s="1"/>
  <c r="I107" i="1"/>
  <c r="S107" i="1" s="1"/>
  <c r="I108" i="1"/>
  <c r="S108" i="1" s="1"/>
  <c r="I109" i="1"/>
  <c r="S109" i="1" s="1"/>
  <c r="I110" i="1"/>
  <c r="S110" i="1" s="1"/>
  <c r="I111" i="1"/>
  <c r="S111" i="1" s="1"/>
  <c r="I112" i="1"/>
  <c r="S112" i="1" s="1"/>
  <c r="I113" i="1"/>
  <c r="S113" i="1" s="1"/>
  <c r="I114" i="1"/>
  <c r="S114" i="1" s="1"/>
  <c r="I115" i="1"/>
  <c r="S115" i="1" s="1"/>
  <c r="I116" i="1"/>
  <c r="S116" i="1" s="1"/>
  <c r="I117" i="1"/>
  <c r="S117" i="1" s="1"/>
  <c r="I118" i="1"/>
  <c r="S118" i="1" s="1"/>
  <c r="I119" i="1"/>
  <c r="S119" i="1" s="1"/>
  <c r="I120" i="1"/>
  <c r="S120" i="1" s="1"/>
  <c r="I121" i="1"/>
  <c r="S121" i="1" s="1"/>
  <c r="I122" i="1"/>
  <c r="S122" i="1" s="1"/>
  <c r="I123" i="1"/>
  <c r="S123" i="1" s="1"/>
  <c r="I124" i="1"/>
  <c r="S124" i="1" s="1"/>
  <c r="I125" i="1"/>
  <c r="S125" i="1" s="1"/>
  <c r="I126" i="1"/>
  <c r="S126" i="1" s="1"/>
  <c r="I127" i="1"/>
  <c r="S127" i="1" s="1"/>
  <c r="I128" i="1"/>
  <c r="S128" i="1" s="1"/>
  <c r="I129" i="1"/>
  <c r="S129" i="1" s="1"/>
  <c r="I130" i="1"/>
  <c r="S130" i="1" s="1"/>
  <c r="I131" i="1"/>
  <c r="S131" i="1" s="1"/>
  <c r="I132" i="1"/>
  <c r="S132" i="1" s="1"/>
  <c r="I133" i="1"/>
  <c r="S133" i="1" s="1"/>
  <c r="I134" i="1"/>
  <c r="S134" i="1" s="1"/>
  <c r="I135" i="1"/>
  <c r="S135" i="1" s="1"/>
  <c r="I136" i="1"/>
  <c r="S136" i="1" s="1"/>
  <c r="I137" i="1"/>
  <c r="S137" i="1" s="1"/>
  <c r="I138" i="1"/>
  <c r="S138" i="1" s="1"/>
  <c r="I139" i="1"/>
  <c r="S139" i="1" s="1"/>
  <c r="I140" i="1"/>
  <c r="S140" i="1" s="1"/>
  <c r="I141" i="1"/>
  <c r="S141" i="1" s="1"/>
  <c r="I142" i="1"/>
  <c r="S142" i="1" s="1"/>
  <c r="I143" i="1"/>
  <c r="S143" i="1" s="1"/>
  <c r="I144" i="1"/>
  <c r="S144" i="1" s="1"/>
  <c r="I145" i="1"/>
  <c r="S145" i="1" s="1"/>
  <c r="I146" i="1"/>
  <c r="S146" i="1" s="1"/>
  <c r="I147" i="1"/>
  <c r="S147" i="1" s="1"/>
  <c r="I148" i="1"/>
  <c r="S148" i="1" s="1"/>
  <c r="I149" i="1"/>
  <c r="S149" i="1" s="1"/>
  <c r="I150" i="1"/>
  <c r="S150" i="1" s="1"/>
  <c r="I151" i="1"/>
  <c r="S151" i="1" s="1"/>
  <c r="I152" i="1"/>
  <c r="S152" i="1" s="1"/>
  <c r="I153" i="1"/>
  <c r="S153" i="1" s="1"/>
  <c r="I154" i="1"/>
  <c r="S154" i="1" s="1"/>
  <c r="I155" i="1"/>
  <c r="S155" i="1" s="1"/>
  <c r="I156" i="1"/>
  <c r="S156" i="1" s="1"/>
  <c r="I157" i="1"/>
  <c r="S157" i="1" s="1"/>
  <c r="I158" i="1"/>
  <c r="S158" i="1" s="1"/>
  <c r="I159" i="1"/>
  <c r="S159" i="1" s="1"/>
  <c r="I160" i="1"/>
  <c r="S160" i="1" s="1"/>
  <c r="I161" i="1"/>
  <c r="S161" i="1" s="1"/>
  <c r="I162" i="1"/>
  <c r="S162" i="1" s="1"/>
  <c r="I163" i="1"/>
  <c r="S163" i="1" s="1"/>
  <c r="I164" i="1"/>
  <c r="S164" i="1" s="1"/>
  <c r="I165" i="1"/>
  <c r="S165" i="1" s="1"/>
  <c r="I166" i="1"/>
  <c r="S166" i="1" s="1"/>
  <c r="I167" i="1"/>
  <c r="S167" i="1" s="1"/>
  <c r="I168" i="1"/>
  <c r="S168" i="1" s="1"/>
  <c r="I169" i="1"/>
  <c r="S169" i="1" s="1"/>
  <c r="I170" i="1"/>
  <c r="S170" i="1" s="1"/>
  <c r="I171" i="1"/>
  <c r="S171" i="1" s="1"/>
  <c r="I172" i="1"/>
  <c r="S172" i="1" s="1"/>
  <c r="I173" i="1"/>
  <c r="S173" i="1" s="1"/>
  <c r="I174" i="1"/>
  <c r="S174" i="1" s="1"/>
  <c r="I175" i="1"/>
  <c r="S175" i="1" s="1"/>
  <c r="I176" i="1"/>
  <c r="S176" i="1" s="1"/>
  <c r="I177" i="1"/>
  <c r="S177" i="1" s="1"/>
  <c r="I178" i="1"/>
  <c r="S178" i="1" s="1"/>
  <c r="I179" i="1"/>
  <c r="S179" i="1" s="1"/>
  <c r="I180" i="1"/>
  <c r="S180" i="1" s="1"/>
  <c r="I181" i="1"/>
  <c r="S181" i="1" s="1"/>
  <c r="I182" i="1"/>
  <c r="S182" i="1" s="1"/>
  <c r="I183" i="1"/>
  <c r="S183" i="1" s="1"/>
  <c r="I184" i="1"/>
  <c r="S184" i="1" s="1"/>
  <c r="I185" i="1"/>
  <c r="S185" i="1" s="1"/>
  <c r="I186" i="1"/>
  <c r="S186" i="1" s="1"/>
  <c r="I187" i="1"/>
  <c r="S187" i="1" s="1"/>
  <c r="I188" i="1"/>
  <c r="S188" i="1" s="1"/>
  <c r="I189" i="1"/>
  <c r="S189" i="1" s="1"/>
  <c r="I190" i="1"/>
  <c r="S190" i="1" s="1"/>
  <c r="I191" i="1"/>
  <c r="S191" i="1" s="1"/>
  <c r="I192" i="1"/>
  <c r="S192" i="1" s="1"/>
  <c r="I193" i="1"/>
  <c r="S193" i="1" s="1"/>
  <c r="I194" i="1"/>
  <c r="S194" i="1" s="1"/>
  <c r="I195" i="1"/>
  <c r="S195" i="1" s="1"/>
  <c r="I196" i="1"/>
  <c r="S196" i="1" s="1"/>
  <c r="I197" i="1"/>
  <c r="S197" i="1" s="1"/>
  <c r="I198" i="1"/>
  <c r="S198" i="1" s="1"/>
  <c r="I199" i="1"/>
  <c r="S199" i="1" s="1"/>
  <c r="I200" i="1"/>
  <c r="S200" i="1" s="1"/>
  <c r="I201" i="1"/>
  <c r="S201" i="1" s="1"/>
  <c r="I202" i="1"/>
  <c r="S202" i="1" s="1"/>
  <c r="I203" i="1"/>
  <c r="S203" i="1" s="1"/>
  <c r="I204" i="1"/>
  <c r="S204" i="1" s="1"/>
  <c r="I205" i="1"/>
  <c r="S205" i="1" s="1"/>
  <c r="I206" i="1"/>
  <c r="S206" i="1" s="1"/>
  <c r="I207" i="1"/>
  <c r="S207" i="1" s="1"/>
  <c r="I208" i="1"/>
  <c r="S208" i="1" s="1"/>
  <c r="I209" i="1"/>
  <c r="S209" i="1" s="1"/>
  <c r="I210" i="1"/>
  <c r="S210" i="1" s="1"/>
  <c r="I211" i="1"/>
  <c r="S211" i="1" s="1"/>
  <c r="I212" i="1"/>
  <c r="S212" i="1" s="1"/>
  <c r="I213" i="1"/>
  <c r="S213" i="1" s="1"/>
  <c r="I214" i="1"/>
  <c r="S214" i="1" s="1"/>
  <c r="I215" i="1"/>
  <c r="S215" i="1" s="1"/>
  <c r="I216" i="1"/>
  <c r="S216" i="1" s="1"/>
  <c r="I217" i="1"/>
  <c r="S217" i="1" s="1"/>
  <c r="I218" i="1"/>
  <c r="S218" i="1" s="1"/>
  <c r="I219" i="1"/>
  <c r="S219" i="1" s="1"/>
  <c r="I220" i="1"/>
  <c r="S220" i="1" s="1"/>
  <c r="I221" i="1"/>
  <c r="S221" i="1" s="1"/>
  <c r="I222" i="1"/>
  <c r="S222" i="1" s="1"/>
  <c r="I223" i="1"/>
  <c r="S223" i="1" s="1"/>
  <c r="I224" i="1"/>
  <c r="S224" i="1" s="1"/>
  <c r="I225" i="1"/>
  <c r="S225" i="1" s="1"/>
  <c r="I226" i="1"/>
  <c r="S226" i="1" s="1"/>
  <c r="I227" i="1"/>
  <c r="S227" i="1" s="1"/>
  <c r="I228" i="1"/>
  <c r="S228" i="1" s="1"/>
  <c r="I229" i="1"/>
  <c r="S229" i="1" s="1"/>
  <c r="I230" i="1"/>
  <c r="S230" i="1" s="1"/>
  <c r="I231" i="1"/>
  <c r="S231" i="1" s="1"/>
  <c r="I232" i="1"/>
  <c r="S232" i="1" s="1"/>
  <c r="I233" i="1"/>
  <c r="S233" i="1" s="1"/>
  <c r="I234" i="1"/>
  <c r="S234" i="1" s="1"/>
  <c r="I235" i="1"/>
  <c r="S235" i="1" s="1"/>
  <c r="I236" i="1"/>
  <c r="S236" i="1" s="1"/>
  <c r="I237" i="1"/>
  <c r="S237" i="1" s="1"/>
  <c r="I238" i="1"/>
  <c r="S238" i="1" s="1"/>
  <c r="I239" i="1"/>
  <c r="S239" i="1" s="1"/>
  <c r="I240" i="1"/>
  <c r="S240" i="1" s="1"/>
  <c r="I241" i="1"/>
  <c r="S241" i="1" s="1"/>
  <c r="I242" i="1"/>
  <c r="S242" i="1" s="1"/>
  <c r="I243" i="1"/>
  <c r="S243" i="1" s="1"/>
  <c r="I244" i="1"/>
  <c r="S244" i="1" s="1"/>
  <c r="I245" i="1"/>
  <c r="S245" i="1" s="1"/>
  <c r="I246" i="1"/>
  <c r="S246" i="1" s="1"/>
  <c r="I247" i="1"/>
  <c r="S247" i="1" s="1"/>
  <c r="I248" i="1"/>
  <c r="S248" i="1" s="1"/>
  <c r="I249" i="1"/>
  <c r="S249" i="1" s="1"/>
  <c r="I250" i="1"/>
  <c r="S250" i="1" s="1"/>
  <c r="I251" i="1"/>
  <c r="S251" i="1" s="1"/>
  <c r="I252" i="1"/>
  <c r="S252" i="1" s="1"/>
  <c r="I253" i="1"/>
  <c r="S253" i="1" s="1"/>
  <c r="I254" i="1"/>
  <c r="S254" i="1" s="1"/>
  <c r="I255" i="1"/>
  <c r="S255" i="1" s="1"/>
  <c r="I256" i="1"/>
  <c r="S256" i="1" s="1"/>
  <c r="I257" i="1"/>
  <c r="S257" i="1" s="1"/>
  <c r="I258" i="1"/>
  <c r="S258" i="1" s="1"/>
  <c r="I259" i="1"/>
  <c r="S259" i="1" s="1"/>
  <c r="I260" i="1"/>
  <c r="S260" i="1" s="1"/>
  <c r="I261" i="1"/>
  <c r="S261" i="1" s="1"/>
  <c r="I262" i="1"/>
  <c r="S262" i="1" s="1"/>
  <c r="I263" i="1"/>
  <c r="S263" i="1" s="1"/>
  <c r="I264" i="1"/>
  <c r="S264" i="1" s="1"/>
  <c r="I265" i="1"/>
  <c r="S265" i="1" s="1"/>
  <c r="I266" i="1"/>
  <c r="S266" i="1" s="1"/>
  <c r="I267" i="1"/>
  <c r="S267" i="1" s="1"/>
  <c r="I268" i="1"/>
  <c r="S268" i="1" s="1"/>
  <c r="I269" i="1"/>
  <c r="S269" i="1" s="1"/>
  <c r="I270" i="1"/>
  <c r="S270" i="1" s="1"/>
  <c r="I271" i="1"/>
  <c r="S271" i="1" s="1"/>
  <c r="I272" i="1"/>
  <c r="S272" i="1" s="1"/>
  <c r="I273" i="1"/>
  <c r="S273" i="1" s="1"/>
  <c r="I274" i="1"/>
  <c r="S274" i="1" s="1"/>
  <c r="I275" i="1"/>
  <c r="S275" i="1" s="1"/>
  <c r="I276" i="1"/>
  <c r="S276" i="1" s="1"/>
  <c r="I277" i="1"/>
  <c r="S277" i="1" s="1"/>
  <c r="I278" i="1"/>
  <c r="S278" i="1" s="1"/>
  <c r="I279" i="1"/>
  <c r="S279" i="1" s="1"/>
  <c r="I280" i="1"/>
  <c r="S280" i="1" s="1"/>
  <c r="I281" i="1"/>
  <c r="S281" i="1" s="1"/>
  <c r="I282" i="1"/>
  <c r="S282" i="1" s="1"/>
  <c r="I283" i="1"/>
  <c r="S283" i="1" s="1"/>
  <c r="I284" i="1"/>
  <c r="S284" i="1" s="1"/>
  <c r="I285" i="1"/>
  <c r="S285" i="1" s="1"/>
  <c r="I286" i="1"/>
  <c r="S286" i="1" s="1"/>
  <c r="I287" i="1"/>
  <c r="S287" i="1" s="1"/>
  <c r="I288" i="1"/>
  <c r="S288" i="1" s="1"/>
  <c r="I289" i="1"/>
  <c r="S289" i="1" s="1"/>
  <c r="I290" i="1"/>
  <c r="S290" i="1" s="1"/>
  <c r="I291" i="1"/>
  <c r="S291" i="1" s="1"/>
  <c r="I292" i="1"/>
  <c r="S292" i="1" s="1"/>
  <c r="I293" i="1"/>
  <c r="S293" i="1" s="1"/>
  <c r="I294" i="1"/>
  <c r="S294" i="1" s="1"/>
  <c r="I295" i="1"/>
  <c r="S295" i="1" s="1"/>
  <c r="I296" i="1"/>
  <c r="S296" i="1" s="1"/>
  <c r="I297" i="1"/>
  <c r="S297" i="1" s="1"/>
  <c r="I298" i="1"/>
  <c r="S298" i="1" s="1"/>
  <c r="I299" i="1"/>
  <c r="S299" i="1" s="1"/>
  <c r="I300" i="1"/>
  <c r="S300" i="1" s="1"/>
  <c r="I301" i="1"/>
  <c r="S301" i="1" s="1"/>
  <c r="I302" i="1"/>
  <c r="S302" i="1" s="1"/>
  <c r="I303" i="1"/>
  <c r="S303" i="1" s="1"/>
  <c r="I304" i="1"/>
  <c r="S304" i="1" s="1"/>
  <c r="I305" i="1"/>
  <c r="S305" i="1" s="1"/>
  <c r="I306" i="1"/>
  <c r="S306" i="1" s="1"/>
  <c r="I307" i="1"/>
  <c r="S307" i="1" s="1"/>
  <c r="I308" i="1"/>
  <c r="S308" i="1" s="1"/>
  <c r="I309" i="1"/>
  <c r="S309" i="1" s="1"/>
  <c r="I310" i="1"/>
  <c r="S310" i="1" s="1"/>
  <c r="I311" i="1"/>
  <c r="S311" i="1" s="1"/>
  <c r="I312" i="1"/>
  <c r="S312" i="1" s="1"/>
  <c r="I313" i="1"/>
  <c r="S313" i="1" s="1"/>
  <c r="I314" i="1"/>
  <c r="S314" i="1" s="1"/>
  <c r="I315" i="1"/>
  <c r="S315" i="1" s="1"/>
  <c r="I316" i="1"/>
  <c r="S316" i="1" s="1"/>
  <c r="I317" i="1"/>
  <c r="S317" i="1" s="1"/>
  <c r="I318" i="1"/>
  <c r="S318" i="1" s="1"/>
  <c r="I319" i="1"/>
  <c r="S319" i="1" s="1"/>
  <c r="I320" i="1"/>
  <c r="S320" i="1" s="1"/>
  <c r="I321" i="1"/>
  <c r="S321" i="1" s="1"/>
  <c r="I322" i="1"/>
  <c r="S322" i="1" s="1"/>
  <c r="I323" i="1"/>
  <c r="S323" i="1" s="1"/>
  <c r="I324" i="1"/>
  <c r="S324" i="1" s="1"/>
  <c r="I325" i="1"/>
  <c r="S325" i="1" s="1"/>
  <c r="I326" i="1"/>
  <c r="S326" i="1" s="1"/>
  <c r="I327" i="1"/>
  <c r="S327" i="1" s="1"/>
  <c r="I328" i="1"/>
  <c r="S328" i="1" s="1"/>
  <c r="I329" i="1"/>
  <c r="S329" i="1" s="1"/>
  <c r="I330" i="1"/>
  <c r="S330" i="1" s="1"/>
  <c r="I331" i="1"/>
  <c r="S331" i="1" s="1"/>
  <c r="I332" i="1"/>
  <c r="S332" i="1" s="1"/>
  <c r="I333" i="1"/>
  <c r="S333" i="1" s="1"/>
  <c r="I334" i="1"/>
  <c r="S334" i="1" s="1"/>
  <c r="I335" i="1"/>
  <c r="S335" i="1" s="1"/>
  <c r="I336" i="1"/>
  <c r="S336" i="1" s="1"/>
  <c r="I337" i="1"/>
  <c r="S337" i="1" s="1"/>
  <c r="I338" i="1"/>
  <c r="S338" i="1" s="1"/>
  <c r="I339" i="1"/>
  <c r="S339" i="1" s="1"/>
  <c r="I340" i="1"/>
  <c r="S340" i="1" s="1"/>
  <c r="I341" i="1"/>
  <c r="S341" i="1" s="1"/>
  <c r="I342" i="1"/>
  <c r="S342" i="1" s="1"/>
  <c r="I343" i="1"/>
  <c r="S343" i="1" s="1"/>
  <c r="I344" i="1"/>
  <c r="S344" i="1" s="1"/>
  <c r="I345" i="1"/>
  <c r="S345" i="1" s="1"/>
  <c r="I346" i="1"/>
  <c r="S346" i="1" s="1"/>
  <c r="I347" i="1"/>
  <c r="S347" i="1" s="1"/>
  <c r="I348" i="1"/>
  <c r="S348" i="1" s="1"/>
  <c r="I349" i="1"/>
  <c r="S349" i="1" s="1"/>
  <c r="I350" i="1"/>
  <c r="S350" i="1" s="1"/>
  <c r="I351" i="1"/>
  <c r="S351" i="1" s="1"/>
  <c r="I352" i="1"/>
  <c r="S352" i="1" s="1"/>
  <c r="I353" i="1"/>
  <c r="S353" i="1" s="1"/>
  <c r="I354" i="1"/>
  <c r="S354" i="1" s="1"/>
  <c r="I355" i="1"/>
  <c r="S355" i="1" s="1"/>
  <c r="I356" i="1"/>
  <c r="S356" i="1" s="1"/>
  <c r="I357" i="1"/>
  <c r="S357" i="1" s="1"/>
  <c r="I358" i="1"/>
  <c r="S358" i="1" s="1"/>
  <c r="I359" i="1"/>
  <c r="S359" i="1" s="1"/>
  <c r="I360" i="1"/>
  <c r="S360" i="1" s="1"/>
  <c r="I361" i="1"/>
  <c r="S361" i="1" s="1"/>
  <c r="I362" i="1"/>
  <c r="S362" i="1" s="1"/>
  <c r="I363" i="1"/>
  <c r="S363" i="1" s="1"/>
  <c r="I364" i="1"/>
  <c r="S364" i="1" s="1"/>
  <c r="I365" i="1"/>
  <c r="S365" i="1" s="1"/>
  <c r="I366" i="1"/>
  <c r="S366" i="1" s="1"/>
  <c r="I367" i="1"/>
  <c r="S367" i="1" s="1"/>
  <c r="I368" i="1"/>
  <c r="S368" i="1" s="1"/>
  <c r="I369" i="1"/>
  <c r="S369" i="1" s="1"/>
  <c r="I370" i="1"/>
  <c r="S370" i="1" s="1"/>
  <c r="I371" i="1"/>
  <c r="S371" i="1" s="1"/>
  <c r="I372" i="1"/>
  <c r="S372" i="1" s="1"/>
  <c r="I373" i="1"/>
  <c r="S373" i="1" s="1"/>
  <c r="I374" i="1"/>
  <c r="S374" i="1" s="1"/>
  <c r="I375" i="1"/>
  <c r="S375" i="1" s="1"/>
  <c r="I376" i="1"/>
  <c r="S376" i="1" s="1"/>
  <c r="I377" i="1"/>
  <c r="S377" i="1" s="1"/>
  <c r="I378" i="1"/>
  <c r="S378" i="1" s="1"/>
  <c r="I379" i="1"/>
  <c r="S379" i="1" s="1"/>
  <c r="I380" i="1"/>
  <c r="S380" i="1" s="1"/>
  <c r="I381" i="1"/>
  <c r="S381" i="1" s="1"/>
  <c r="I382" i="1"/>
  <c r="S382" i="1" s="1"/>
  <c r="I383" i="1"/>
  <c r="S383" i="1" s="1"/>
  <c r="I384" i="1"/>
  <c r="S384" i="1" s="1"/>
  <c r="I385" i="1"/>
  <c r="S385" i="1" s="1"/>
  <c r="I386" i="1"/>
  <c r="S386" i="1" s="1"/>
  <c r="I387" i="1"/>
  <c r="S387" i="1" s="1"/>
  <c r="I388" i="1"/>
  <c r="S388" i="1" s="1"/>
  <c r="I389" i="1"/>
  <c r="S389" i="1" s="1"/>
  <c r="I390" i="1"/>
  <c r="S390" i="1" s="1"/>
  <c r="I391" i="1"/>
  <c r="S391" i="1" s="1"/>
  <c r="I392" i="1"/>
  <c r="S392" i="1" s="1"/>
  <c r="I393" i="1"/>
  <c r="S393" i="1" s="1"/>
  <c r="I394" i="1"/>
  <c r="S394" i="1" s="1"/>
  <c r="I395" i="1"/>
  <c r="S395" i="1" s="1"/>
  <c r="I396" i="1"/>
  <c r="S396" i="1" s="1"/>
  <c r="I397" i="1"/>
  <c r="S397" i="1" s="1"/>
  <c r="I398" i="1"/>
  <c r="S398" i="1" s="1"/>
  <c r="I399" i="1"/>
  <c r="S399" i="1" s="1"/>
  <c r="I400" i="1"/>
  <c r="S400" i="1" s="1"/>
  <c r="I401" i="1"/>
  <c r="S401" i="1" s="1"/>
  <c r="I402" i="1"/>
  <c r="S402" i="1" s="1"/>
  <c r="I403" i="1"/>
  <c r="S403" i="1" s="1"/>
  <c r="I404" i="1"/>
  <c r="S404" i="1" s="1"/>
  <c r="I405" i="1"/>
  <c r="S405" i="1" s="1"/>
  <c r="I406" i="1"/>
  <c r="S406" i="1" s="1"/>
  <c r="I407" i="1"/>
  <c r="S407" i="1" s="1"/>
  <c r="I408" i="1"/>
  <c r="S408" i="1" s="1"/>
  <c r="I409" i="1"/>
  <c r="S409" i="1" s="1"/>
  <c r="I410" i="1"/>
  <c r="S410" i="1" s="1"/>
  <c r="I411" i="1"/>
  <c r="S411" i="1" s="1"/>
  <c r="I412" i="1"/>
  <c r="S412" i="1" s="1"/>
  <c r="I413" i="1"/>
  <c r="S413" i="1" s="1"/>
  <c r="I414" i="1"/>
  <c r="S414" i="1" s="1"/>
  <c r="I415" i="1"/>
  <c r="S415" i="1" s="1"/>
  <c r="I416" i="1"/>
  <c r="S416" i="1" s="1"/>
  <c r="I417" i="1"/>
  <c r="S417" i="1" s="1"/>
  <c r="I418" i="1"/>
  <c r="S418" i="1" s="1"/>
  <c r="I419" i="1"/>
  <c r="S419" i="1" s="1"/>
  <c r="I420" i="1"/>
  <c r="S420" i="1" s="1"/>
  <c r="I421" i="1"/>
  <c r="S421" i="1" s="1"/>
  <c r="I422" i="1"/>
  <c r="S422" i="1" s="1"/>
  <c r="I423" i="1"/>
  <c r="S423" i="1" s="1"/>
  <c r="I424" i="1"/>
  <c r="S424" i="1" s="1"/>
  <c r="I425" i="1"/>
  <c r="S425" i="1" s="1"/>
  <c r="I426" i="1"/>
  <c r="S426" i="1" s="1"/>
  <c r="I427" i="1"/>
  <c r="S427" i="1" s="1"/>
  <c r="I428" i="1"/>
  <c r="S428" i="1" s="1"/>
  <c r="I429" i="1"/>
  <c r="S429" i="1" s="1"/>
  <c r="I430" i="1"/>
  <c r="S430" i="1" s="1"/>
  <c r="I431" i="1"/>
  <c r="S431" i="1" s="1"/>
  <c r="I432" i="1"/>
  <c r="S432" i="1" s="1"/>
  <c r="I433" i="1"/>
  <c r="S433" i="1" s="1"/>
  <c r="I434" i="1"/>
  <c r="S434" i="1" s="1"/>
  <c r="I435" i="1"/>
  <c r="S435" i="1" s="1"/>
  <c r="I436" i="1"/>
  <c r="S436" i="1" s="1"/>
  <c r="I437" i="1"/>
  <c r="S437" i="1" s="1"/>
  <c r="I438" i="1"/>
  <c r="S438" i="1" s="1"/>
  <c r="I439" i="1"/>
  <c r="S439" i="1" s="1"/>
  <c r="I440" i="1"/>
  <c r="S440" i="1" s="1"/>
  <c r="I441" i="1"/>
  <c r="S441" i="1" s="1"/>
  <c r="I442" i="1"/>
  <c r="S442" i="1" s="1"/>
  <c r="I443" i="1"/>
  <c r="S443" i="1" s="1"/>
  <c r="I444" i="1"/>
  <c r="S444" i="1" s="1"/>
  <c r="I445" i="1"/>
  <c r="S445" i="1" s="1"/>
  <c r="I446" i="1"/>
  <c r="S446" i="1" s="1"/>
  <c r="I447" i="1"/>
  <c r="S447" i="1" s="1"/>
  <c r="I448" i="1"/>
  <c r="S448" i="1" s="1"/>
  <c r="I449" i="1"/>
  <c r="S449" i="1" s="1"/>
  <c r="I450" i="1"/>
  <c r="S450" i="1" s="1"/>
  <c r="I451" i="1"/>
  <c r="S451" i="1" s="1"/>
  <c r="I452" i="1"/>
  <c r="S452" i="1" s="1"/>
  <c r="I453" i="1"/>
  <c r="S453" i="1" s="1"/>
  <c r="I454" i="1"/>
  <c r="S454" i="1" s="1"/>
  <c r="I455" i="1"/>
  <c r="S455" i="1" s="1"/>
  <c r="I456" i="1"/>
  <c r="S456" i="1" s="1"/>
  <c r="I457" i="1"/>
  <c r="S457" i="1" s="1"/>
  <c r="I458" i="1"/>
  <c r="S458" i="1" s="1"/>
  <c r="I459" i="1"/>
  <c r="S459" i="1" s="1"/>
  <c r="I460" i="1"/>
  <c r="S460" i="1" s="1"/>
  <c r="I461" i="1"/>
  <c r="S461" i="1" s="1"/>
  <c r="I462" i="1"/>
  <c r="S462" i="1" s="1"/>
  <c r="I463" i="1"/>
  <c r="S463" i="1" s="1"/>
  <c r="I464" i="1"/>
  <c r="S464" i="1" s="1"/>
  <c r="I465" i="1"/>
  <c r="S465" i="1" s="1"/>
  <c r="I466" i="1"/>
  <c r="S466" i="1" s="1"/>
  <c r="I467" i="1"/>
  <c r="S467" i="1" s="1"/>
  <c r="I468" i="1"/>
  <c r="S468" i="1" s="1"/>
  <c r="I469" i="1"/>
  <c r="S469" i="1" s="1"/>
  <c r="I470" i="1"/>
  <c r="S470" i="1" s="1"/>
  <c r="I471" i="1"/>
  <c r="S471" i="1" s="1"/>
  <c r="I472" i="1"/>
  <c r="S472" i="1" s="1"/>
  <c r="I473" i="1"/>
  <c r="S473" i="1" s="1"/>
  <c r="I474" i="1"/>
  <c r="S474" i="1" s="1"/>
  <c r="I475" i="1"/>
  <c r="S475" i="1" s="1"/>
  <c r="I476" i="1"/>
  <c r="S476" i="1" s="1"/>
  <c r="I477" i="1"/>
  <c r="S477" i="1" s="1"/>
  <c r="I478" i="1"/>
  <c r="S478" i="1" s="1"/>
  <c r="I479" i="1"/>
  <c r="S479" i="1" s="1"/>
  <c r="I480" i="1"/>
  <c r="S480" i="1" s="1"/>
  <c r="I481" i="1"/>
  <c r="S481" i="1" s="1"/>
  <c r="I482" i="1"/>
  <c r="S482" i="1" s="1"/>
  <c r="I483" i="1"/>
  <c r="S483" i="1" s="1"/>
  <c r="I484" i="1"/>
  <c r="S484" i="1" s="1"/>
  <c r="I485" i="1"/>
  <c r="S485" i="1" s="1"/>
  <c r="I486" i="1"/>
  <c r="S486" i="1" s="1"/>
  <c r="I487" i="1"/>
  <c r="S487" i="1" s="1"/>
  <c r="I488" i="1"/>
  <c r="S488" i="1" s="1"/>
  <c r="I489" i="1"/>
  <c r="S489" i="1" s="1"/>
  <c r="I490" i="1"/>
  <c r="S490" i="1" s="1"/>
  <c r="I491" i="1"/>
  <c r="S491" i="1" s="1"/>
  <c r="I492" i="1"/>
  <c r="S492" i="1" s="1"/>
  <c r="I493" i="1"/>
  <c r="S493" i="1" s="1"/>
  <c r="I494" i="1"/>
  <c r="S494" i="1" s="1"/>
  <c r="I495" i="1"/>
  <c r="S495" i="1" s="1"/>
  <c r="I496" i="1"/>
  <c r="S496" i="1" s="1"/>
  <c r="I497" i="1"/>
  <c r="S497" i="1" s="1"/>
  <c r="I498" i="1"/>
  <c r="S498" i="1" s="1"/>
  <c r="I499" i="1"/>
  <c r="S499" i="1" s="1"/>
  <c r="I500" i="1"/>
  <c r="S500" i="1" s="1"/>
  <c r="I501" i="1"/>
  <c r="S501" i="1" s="1"/>
  <c r="I502" i="1"/>
  <c r="S502" i="1" s="1"/>
  <c r="I503" i="1"/>
  <c r="S503" i="1" s="1"/>
  <c r="I504" i="1"/>
  <c r="S504" i="1" s="1"/>
  <c r="I505" i="1"/>
  <c r="S505" i="1" s="1"/>
  <c r="I506" i="1"/>
  <c r="S506" i="1" s="1"/>
  <c r="I507" i="1"/>
  <c r="S507" i="1" s="1"/>
  <c r="I508" i="1"/>
  <c r="S508" i="1" s="1"/>
  <c r="I509" i="1"/>
  <c r="S509" i="1" s="1"/>
  <c r="I510" i="1"/>
  <c r="S510" i="1" s="1"/>
  <c r="I511" i="1"/>
  <c r="S511" i="1" s="1"/>
  <c r="I512" i="1"/>
  <c r="S512" i="1" s="1"/>
  <c r="I513" i="1"/>
  <c r="S513" i="1" s="1"/>
  <c r="I514" i="1"/>
  <c r="S514" i="1" s="1"/>
  <c r="I515" i="1"/>
  <c r="S515" i="1" s="1"/>
  <c r="I516" i="1"/>
  <c r="S516" i="1" s="1"/>
  <c r="I517" i="1"/>
  <c r="S517" i="1" s="1"/>
  <c r="I518" i="1"/>
  <c r="S518" i="1" s="1"/>
  <c r="I519" i="1"/>
  <c r="S519" i="1" s="1"/>
  <c r="I520" i="1"/>
  <c r="S520" i="1" s="1"/>
  <c r="I521" i="1"/>
  <c r="S521" i="1" s="1"/>
  <c r="I522" i="1"/>
  <c r="S522" i="1" s="1"/>
  <c r="I523" i="1"/>
  <c r="S523" i="1" s="1"/>
  <c r="I524" i="1"/>
  <c r="S524" i="1" s="1"/>
  <c r="I525" i="1"/>
  <c r="S525" i="1" s="1"/>
  <c r="I526" i="1"/>
  <c r="S526" i="1" s="1"/>
  <c r="I527" i="1"/>
  <c r="S527" i="1" s="1"/>
  <c r="I528" i="1"/>
  <c r="S528" i="1" s="1"/>
  <c r="I529" i="1"/>
  <c r="S529" i="1" s="1"/>
  <c r="I530" i="1"/>
  <c r="S530" i="1" s="1"/>
  <c r="I531" i="1"/>
  <c r="S531" i="1" s="1"/>
  <c r="I532" i="1"/>
  <c r="S532" i="1" s="1"/>
  <c r="I533" i="1"/>
  <c r="S533" i="1" s="1"/>
  <c r="I534" i="1"/>
  <c r="S534" i="1" s="1"/>
  <c r="I535" i="1"/>
  <c r="S535" i="1" s="1"/>
  <c r="I536" i="1"/>
  <c r="S536" i="1" s="1"/>
  <c r="I537" i="1"/>
  <c r="S537" i="1" s="1"/>
  <c r="I538" i="1"/>
  <c r="S538" i="1" s="1"/>
  <c r="I539" i="1"/>
  <c r="S539" i="1" s="1"/>
  <c r="I540" i="1"/>
  <c r="S540" i="1" s="1"/>
  <c r="I541" i="1"/>
  <c r="S541" i="1" s="1"/>
  <c r="I542" i="1"/>
  <c r="S542" i="1" s="1"/>
  <c r="I543" i="1"/>
  <c r="S543" i="1" s="1"/>
  <c r="I544" i="1"/>
  <c r="S544" i="1" s="1"/>
  <c r="I545" i="1"/>
  <c r="S545" i="1" s="1"/>
  <c r="I546" i="1"/>
  <c r="S546" i="1" s="1"/>
  <c r="I547" i="1"/>
  <c r="S547" i="1" s="1"/>
  <c r="I548" i="1"/>
  <c r="S548" i="1" s="1"/>
  <c r="I549" i="1"/>
  <c r="S549" i="1" s="1"/>
  <c r="I550" i="1"/>
  <c r="S550" i="1" s="1"/>
  <c r="I551" i="1"/>
  <c r="S551" i="1" s="1"/>
  <c r="I552" i="1"/>
  <c r="S552" i="1" s="1"/>
  <c r="I553" i="1"/>
  <c r="S553" i="1" s="1"/>
  <c r="I554" i="1"/>
  <c r="S554" i="1" s="1"/>
  <c r="I555" i="1"/>
  <c r="S555" i="1" s="1"/>
  <c r="I556" i="1"/>
  <c r="S556" i="1" s="1"/>
  <c r="I557" i="1"/>
  <c r="S557" i="1" s="1"/>
  <c r="I558" i="1"/>
  <c r="S558" i="1" s="1"/>
  <c r="I559" i="1"/>
  <c r="S559" i="1" s="1"/>
  <c r="I560" i="1"/>
  <c r="S560" i="1" s="1"/>
  <c r="I561" i="1"/>
  <c r="S561" i="1" s="1"/>
  <c r="I562" i="1"/>
  <c r="S562" i="1" s="1"/>
  <c r="I563" i="1"/>
  <c r="S563" i="1" s="1"/>
  <c r="I564" i="1"/>
  <c r="S564" i="1" s="1"/>
  <c r="I565" i="1"/>
  <c r="S565" i="1" s="1"/>
  <c r="I566" i="1"/>
  <c r="S566" i="1" s="1"/>
  <c r="I567" i="1"/>
  <c r="S567" i="1" s="1"/>
  <c r="I568" i="1"/>
  <c r="S568" i="1" s="1"/>
  <c r="I569" i="1"/>
  <c r="S569" i="1" s="1"/>
  <c r="I570" i="1"/>
  <c r="S570" i="1" s="1"/>
  <c r="I571" i="1"/>
  <c r="S571" i="1" s="1"/>
  <c r="I572" i="1"/>
  <c r="S572" i="1" s="1"/>
  <c r="I573" i="1"/>
  <c r="S573" i="1" s="1"/>
  <c r="I574" i="1"/>
  <c r="S574" i="1" s="1"/>
  <c r="I575" i="1"/>
  <c r="S575" i="1" s="1"/>
  <c r="I576" i="1"/>
  <c r="S576" i="1" s="1"/>
  <c r="I577" i="1"/>
  <c r="S577" i="1" s="1"/>
  <c r="I578" i="1"/>
  <c r="S578" i="1" s="1"/>
  <c r="I579" i="1"/>
  <c r="S579" i="1" s="1"/>
  <c r="I580" i="1"/>
  <c r="S580" i="1" s="1"/>
  <c r="I581" i="1"/>
  <c r="S581" i="1" s="1"/>
  <c r="I582" i="1"/>
  <c r="S582" i="1" s="1"/>
  <c r="I583" i="1"/>
  <c r="S583" i="1" s="1"/>
  <c r="I584" i="1"/>
  <c r="S584" i="1" s="1"/>
  <c r="I585" i="1"/>
  <c r="S585" i="1" s="1"/>
  <c r="I586" i="1"/>
  <c r="S586" i="1" s="1"/>
  <c r="I587" i="1"/>
  <c r="S587" i="1" s="1"/>
  <c r="I588" i="1"/>
  <c r="S588" i="1" s="1"/>
  <c r="I589" i="1"/>
  <c r="S589" i="1" s="1"/>
  <c r="I590" i="1"/>
  <c r="S590" i="1" s="1"/>
  <c r="I591" i="1"/>
  <c r="S591" i="1" s="1"/>
  <c r="I592" i="1"/>
  <c r="S592" i="1" s="1"/>
  <c r="I593" i="1"/>
  <c r="S593" i="1" s="1"/>
  <c r="I594" i="1"/>
  <c r="S594" i="1" s="1"/>
  <c r="I595" i="1"/>
  <c r="S595" i="1" s="1"/>
  <c r="I596" i="1"/>
  <c r="S596" i="1" s="1"/>
  <c r="I597" i="1"/>
  <c r="S597" i="1" s="1"/>
  <c r="I598" i="1"/>
  <c r="S598" i="1" s="1"/>
  <c r="I599" i="1"/>
  <c r="S599" i="1" s="1"/>
  <c r="I600" i="1"/>
  <c r="S600" i="1" s="1"/>
  <c r="I601" i="1"/>
  <c r="S601" i="1" s="1"/>
  <c r="I602" i="1"/>
  <c r="S602" i="1" s="1"/>
  <c r="I603" i="1"/>
  <c r="S603" i="1" s="1"/>
  <c r="I604" i="1"/>
  <c r="S604" i="1" s="1"/>
  <c r="I605" i="1"/>
  <c r="S605" i="1" s="1"/>
  <c r="I606" i="1"/>
  <c r="S606" i="1" s="1"/>
  <c r="I607" i="1"/>
  <c r="S607" i="1" s="1"/>
  <c r="I608" i="1"/>
  <c r="S608" i="1" s="1"/>
  <c r="I609" i="1"/>
  <c r="S609" i="1" s="1"/>
  <c r="I610" i="1"/>
  <c r="S610" i="1" s="1"/>
  <c r="I611" i="1"/>
  <c r="S611" i="1" s="1"/>
  <c r="I612" i="1"/>
  <c r="S612" i="1" s="1"/>
  <c r="I613" i="1"/>
  <c r="S613" i="1" s="1"/>
  <c r="I614" i="1"/>
  <c r="S614" i="1" s="1"/>
  <c r="I615" i="1"/>
  <c r="S615" i="1" s="1"/>
  <c r="I616" i="1"/>
  <c r="S616" i="1" s="1"/>
  <c r="I617" i="1"/>
  <c r="S617" i="1" s="1"/>
  <c r="I618" i="1"/>
  <c r="S618" i="1" s="1"/>
  <c r="I619" i="1"/>
  <c r="S619" i="1" s="1"/>
  <c r="I620" i="1"/>
  <c r="S620" i="1" s="1"/>
  <c r="I621" i="1"/>
  <c r="S621" i="1" s="1"/>
  <c r="I622" i="1"/>
  <c r="S622" i="1" s="1"/>
  <c r="I623" i="1"/>
  <c r="S623" i="1" s="1"/>
  <c r="I624" i="1"/>
  <c r="S624" i="1" s="1"/>
  <c r="I625" i="1"/>
  <c r="S625" i="1" s="1"/>
  <c r="I626" i="1"/>
  <c r="S626" i="1" s="1"/>
  <c r="I627" i="1"/>
  <c r="S627" i="1" s="1"/>
  <c r="I628" i="1"/>
  <c r="S628" i="1" s="1"/>
  <c r="I629" i="1"/>
  <c r="S629" i="1" s="1"/>
  <c r="I630" i="1"/>
  <c r="S630" i="1" s="1"/>
  <c r="I631" i="1"/>
  <c r="S631" i="1" s="1"/>
  <c r="I632" i="1"/>
  <c r="S632" i="1" s="1"/>
  <c r="I633" i="1"/>
  <c r="S633" i="1" s="1"/>
  <c r="I634" i="1"/>
  <c r="S634" i="1" s="1"/>
  <c r="I635" i="1"/>
  <c r="S635" i="1" s="1"/>
  <c r="I636" i="1"/>
  <c r="S636" i="1" s="1"/>
  <c r="I637" i="1"/>
  <c r="S637" i="1" s="1"/>
  <c r="I638" i="1"/>
  <c r="S638" i="1" s="1"/>
  <c r="I639" i="1"/>
  <c r="S639" i="1" s="1"/>
  <c r="I640" i="1"/>
  <c r="S640" i="1" s="1"/>
  <c r="I641" i="1"/>
  <c r="S641" i="1" s="1"/>
  <c r="I642" i="1"/>
  <c r="S642" i="1" s="1"/>
  <c r="I643" i="1"/>
  <c r="S643" i="1" s="1"/>
  <c r="I644" i="1"/>
  <c r="S644" i="1" s="1"/>
  <c r="I645" i="1"/>
  <c r="S645" i="1" s="1"/>
  <c r="I646" i="1"/>
  <c r="S646" i="1" s="1"/>
  <c r="I647" i="1"/>
  <c r="S647" i="1" s="1"/>
  <c r="I648" i="1"/>
  <c r="S648" i="1" s="1"/>
  <c r="I649" i="1"/>
  <c r="S649" i="1" s="1"/>
  <c r="I650" i="1"/>
  <c r="S650" i="1" s="1"/>
  <c r="I651" i="1"/>
  <c r="S651" i="1" s="1"/>
  <c r="I652" i="1"/>
  <c r="S652" i="1" s="1"/>
  <c r="I653" i="1"/>
  <c r="S653" i="1" s="1"/>
  <c r="I654" i="1"/>
  <c r="S654" i="1" s="1"/>
  <c r="I655" i="1"/>
  <c r="S655" i="1" s="1"/>
  <c r="I656" i="1"/>
  <c r="S656" i="1" s="1"/>
  <c r="I657" i="1"/>
  <c r="S657" i="1" s="1"/>
  <c r="I658" i="1"/>
  <c r="S658" i="1" s="1"/>
  <c r="I659" i="1"/>
  <c r="S659" i="1" s="1"/>
  <c r="I660" i="1"/>
  <c r="S660" i="1" s="1"/>
  <c r="I661" i="1"/>
  <c r="S661" i="1" s="1"/>
  <c r="I662" i="1"/>
  <c r="S662" i="1" s="1"/>
  <c r="I663" i="1"/>
  <c r="S663" i="1" s="1"/>
  <c r="I664" i="1"/>
  <c r="S664" i="1" s="1"/>
  <c r="I665" i="1"/>
  <c r="S665" i="1" s="1"/>
  <c r="I666" i="1"/>
  <c r="S666" i="1" s="1"/>
  <c r="I667" i="1"/>
  <c r="S667" i="1" s="1"/>
  <c r="I668" i="1"/>
  <c r="S668" i="1" s="1"/>
  <c r="I669" i="1"/>
  <c r="S669" i="1" s="1"/>
  <c r="I670" i="1"/>
  <c r="S670" i="1" s="1"/>
  <c r="I671" i="1"/>
  <c r="S671" i="1" s="1"/>
  <c r="I672" i="1"/>
  <c r="S672" i="1" s="1"/>
  <c r="I673" i="1"/>
  <c r="S673" i="1" s="1"/>
  <c r="I674" i="1"/>
  <c r="S674" i="1" s="1"/>
  <c r="I675" i="1"/>
  <c r="S675" i="1" s="1"/>
  <c r="I676" i="1"/>
  <c r="S676" i="1" s="1"/>
  <c r="I677" i="1"/>
  <c r="S677" i="1" s="1"/>
  <c r="I678" i="1"/>
  <c r="S678" i="1" s="1"/>
  <c r="I679" i="1"/>
  <c r="S679" i="1" s="1"/>
  <c r="I680" i="1"/>
  <c r="S680" i="1" s="1"/>
  <c r="I681" i="1"/>
  <c r="S681" i="1" s="1"/>
  <c r="I682" i="1"/>
  <c r="S682" i="1" s="1"/>
  <c r="I683" i="1"/>
  <c r="S683" i="1" s="1"/>
  <c r="I684" i="1"/>
  <c r="S684" i="1" s="1"/>
  <c r="I685" i="1"/>
  <c r="S685" i="1" s="1"/>
  <c r="I686" i="1"/>
  <c r="S686" i="1" s="1"/>
  <c r="I687" i="1"/>
  <c r="S687" i="1" s="1"/>
  <c r="I688" i="1"/>
  <c r="S688" i="1" s="1"/>
  <c r="I689" i="1"/>
  <c r="S689" i="1" s="1"/>
  <c r="I690" i="1"/>
  <c r="S690" i="1" s="1"/>
  <c r="I691" i="1"/>
  <c r="S691" i="1" s="1"/>
  <c r="I692" i="1"/>
  <c r="S692" i="1" s="1"/>
  <c r="I693" i="1"/>
  <c r="S693" i="1" s="1"/>
  <c r="I694" i="1"/>
  <c r="S694" i="1" s="1"/>
  <c r="I695" i="1"/>
  <c r="S695" i="1" s="1"/>
  <c r="I696" i="1"/>
  <c r="S696" i="1" s="1"/>
  <c r="I697" i="1"/>
  <c r="S697" i="1" s="1"/>
  <c r="I698" i="1"/>
  <c r="S698" i="1" s="1"/>
  <c r="I699" i="1"/>
  <c r="S699" i="1" s="1"/>
  <c r="I700" i="1"/>
  <c r="S700" i="1" s="1"/>
  <c r="I701" i="1"/>
  <c r="S701" i="1" s="1"/>
  <c r="I702" i="1"/>
  <c r="S702" i="1" s="1"/>
  <c r="I703" i="1"/>
  <c r="S703" i="1" s="1"/>
  <c r="I704" i="1"/>
  <c r="S704" i="1" s="1"/>
  <c r="I705" i="1"/>
  <c r="S705" i="1" s="1"/>
  <c r="I706" i="1"/>
  <c r="S706" i="1" s="1"/>
  <c r="I707" i="1"/>
  <c r="S707" i="1" s="1"/>
  <c r="I708" i="1"/>
  <c r="S708" i="1" s="1"/>
  <c r="I709" i="1"/>
  <c r="S709" i="1" s="1"/>
  <c r="I710" i="1"/>
  <c r="S710" i="1" s="1"/>
  <c r="I711" i="1"/>
  <c r="S711" i="1" s="1"/>
  <c r="I712" i="1"/>
  <c r="S712" i="1" s="1"/>
  <c r="I713" i="1"/>
  <c r="S713" i="1" s="1"/>
  <c r="I714" i="1"/>
  <c r="S714" i="1" s="1"/>
  <c r="I715" i="1"/>
  <c r="S715" i="1" s="1"/>
  <c r="I716" i="1"/>
  <c r="S716" i="1" s="1"/>
  <c r="I717" i="1"/>
  <c r="S717" i="1" s="1"/>
  <c r="I718" i="1"/>
  <c r="S718" i="1" s="1"/>
  <c r="I719" i="1"/>
  <c r="S719" i="1" s="1"/>
  <c r="I720" i="1"/>
  <c r="S720" i="1" s="1"/>
  <c r="I721" i="1"/>
  <c r="S721" i="1" s="1"/>
  <c r="I722" i="1"/>
  <c r="S722" i="1" s="1"/>
  <c r="I723" i="1"/>
  <c r="S723" i="1" s="1"/>
  <c r="I724" i="1"/>
  <c r="S724" i="1" s="1"/>
  <c r="I725" i="1"/>
  <c r="S725" i="1" s="1"/>
  <c r="I726" i="1"/>
  <c r="S726" i="1" s="1"/>
  <c r="I727" i="1"/>
  <c r="S727" i="1" s="1"/>
  <c r="I728" i="1"/>
  <c r="S728" i="1" s="1"/>
  <c r="I729" i="1"/>
  <c r="S729" i="1" s="1"/>
  <c r="I730" i="1"/>
  <c r="S730" i="1" s="1"/>
  <c r="I731" i="1"/>
  <c r="S731" i="1" s="1"/>
  <c r="I732" i="1"/>
  <c r="S732" i="1" s="1"/>
  <c r="I733" i="1"/>
  <c r="S733" i="1" s="1"/>
  <c r="I734" i="1"/>
  <c r="S734" i="1" s="1"/>
  <c r="I735" i="1"/>
  <c r="S735" i="1" s="1"/>
  <c r="I736" i="1"/>
  <c r="S736" i="1" s="1"/>
  <c r="I737" i="1"/>
  <c r="S737" i="1" s="1"/>
  <c r="I738" i="1"/>
  <c r="S738" i="1" s="1"/>
  <c r="I739" i="1"/>
  <c r="S739" i="1" s="1"/>
  <c r="I740" i="1"/>
  <c r="S740" i="1" s="1"/>
  <c r="I741" i="1"/>
  <c r="S741" i="1" s="1"/>
  <c r="I742" i="1"/>
  <c r="S742" i="1" s="1"/>
  <c r="I743" i="1"/>
  <c r="S743" i="1" s="1"/>
  <c r="I744" i="1"/>
  <c r="S744" i="1" s="1"/>
  <c r="I745" i="1"/>
  <c r="S745" i="1" s="1"/>
  <c r="I746" i="1"/>
  <c r="S746" i="1" s="1"/>
  <c r="I747" i="1"/>
  <c r="S747" i="1" s="1"/>
  <c r="I748" i="1"/>
  <c r="S748" i="1" s="1"/>
  <c r="I749" i="1"/>
  <c r="S749" i="1" s="1"/>
  <c r="I750" i="1"/>
  <c r="S750" i="1" s="1"/>
  <c r="I751" i="1"/>
  <c r="S751" i="1" s="1"/>
  <c r="I752" i="1"/>
  <c r="S752" i="1" s="1"/>
  <c r="I753" i="1"/>
  <c r="S753" i="1" s="1"/>
  <c r="I754" i="1"/>
  <c r="S754" i="1" s="1"/>
  <c r="I755" i="1"/>
  <c r="S755" i="1" s="1"/>
  <c r="I756" i="1"/>
  <c r="S756" i="1" s="1"/>
  <c r="I757" i="1"/>
  <c r="S757" i="1" s="1"/>
  <c r="I758" i="1"/>
  <c r="S758" i="1" s="1"/>
  <c r="I759" i="1"/>
  <c r="S759" i="1" s="1"/>
  <c r="I760" i="1"/>
  <c r="S760" i="1" s="1"/>
  <c r="I761" i="1"/>
  <c r="S761" i="1" s="1"/>
  <c r="I762" i="1"/>
  <c r="S762" i="1" s="1"/>
  <c r="I763" i="1"/>
  <c r="S763" i="1" s="1"/>
  <c r="I764" i="1"/>
  <c r="S764" i="1" s="1"/>
  <c r="I765" i="1"/>
  <c r="S765" i="1" s="1"/>
  <c r="I766" i="1"/>
  <c r="S766" i="1" s="1"/>
  <c r="I767" i="1"/>
  <c r="S767" i="1" s="1"/>
  <c r="I768" i="1"/>
  <c r="S768" i="1" s="1"/>
  <c r="I769" i="1"/>
  <c r="S769" i="1" s="1"/>
  <c r="I770" i="1"/>
  <c r="S770" i="1" s="1"/>
  <c r="I771" i="1"/>
  <c r="S771" i="1" s="1"/>
  <c r="I772" i="1"/>
  <c r="S772" i="1" s="1"/>
  <c r="I773" i="1"/>
  <c r="S773" i="1" s="1"/>
  <c r="I774" i="1"/>
  <c r="S774" i="1" s="1"/>
  <c r="I775" i="1"/>
  <c r="S775" i="1" s="1"/>
  <c r="I776" i="1"/>
  <c r="S776" i="1" s="1"/>
  <c r="I777" i="1"/>
  <c r="S777" i="1" s="1"/>
  <c r="I778" i="1"/>
  <c r="S778" i="1" s="1"/>
  <c r="I779" i="1"/>
  <c r="S779" i="1" s="1"/>
  <c r="I780" i="1"/>
  <c r="S780" i="1" s="1"/>
  <c r="I781" i="1"/>
  <c r="S781" i="1" s="1"/>
  <c r="I782" i="1"/>
  <c r="S782" i="1" s="1"/>
  <c r="I783" i="1"/>
  <c r="S783" i="1" s="1"/>
  <c r="I784" i="1"/>
  <c r="S784" i="1" s="1"/>
  <c r="I785" i="1"/>
  <c r="S785" i="1" s="1"/>
  <c r="I786" i="1"/>
  <c r="S786" i="1" s="1"/>
  <c r="I787" i="1"/>
  <c r="S787" i="1" s="1"/>
  <c r="I788" i="1"/>
  <c r="S788" i="1" s="1"/>
  <c r="I789" i="1"/>
  <c r="S789" i="1" s="1"/>
  <c r="I790" i="1"/>
  <c r="S790" i="1" s="1"/>
  <c r="I791" i="1"/>
  <c r="S791" i="1" s="1"/>
  <c r="I792" i="1"/>
  <c r="S792" i="1" s="1"/>
  <c r="I793" i="1"/>
  <c r="S793" i="1" s="1"/>
  <c r="I794" i="1"/>
  <c r="S794" i="1" s="1"/>
  <c r="I795" i="1"/>
  <c r="S795" i="1" s="1"/>
  <c r="I796" i="1"/>
  <c r="S796" i="1" s="1"/>
  <c r="I797" i="1"/>
  <c r="S797" i="1" s="1"/>
  <c r="I798" i="1"/>
  <c r="S798" i="1" s="1"/>
  <c r="I799" i="1"/>
  <c r="S799" i="1" s="1"/>
  <c r="I800" i="1"/>
  <c r="S800" i="1" s="1"/>
  <c r="I801" i="1"/>
  <c r="S801" i="1" s="1"/>
  <c r="I802" i="1"/>
  <c r="S802" i="1" s="1"/>
  <c r="I803" i="1"/>
  <c r="S803" i="1" s="1"/>
  <c r="I804" i="1"/>
  <c r="S804" i="1" s="1"/>
  <c r="I805" i="1"/>
  <c r="S805" i="1" s="1"/>
  <c r="I806" i="1"/>
  <c r="S806" i="1" s="1"/>
  <c r="I807" i="1"/>
  <c r="S807" i="1" s="1"/>
  <c r="I808" i="1"/>
  <c r="S808" i="1" s="1"/>
  <c r="I809" i="1"/>
  <c r="S809" i="1" s="1"/>
  <c r="I810" i="1"/>
  <c r="S810" i="1" s="1"/>
  <c r="I811" i="1"/>
  <c r="S811" i="1" s="1"/>
  <c r="I812" i="1"/>
  <c r="S812" i="1" s="1"/>
  <c r="I813" i="1"/>
  <c r="S813" i="1" s="1"/>
  <c r="I814" i="1"/>
  <c r="S814" i="1" s="1"/>
  <c r="I815" i="1"/>
  <c r="S815" i="1" s="1"/>
  <c r="I816" i="1"/>
  <c r="S816" i="1" s="1"/>
  <c r="I817" i="1"/>
  <c r="S817" i="1" s="1"/>
  <c r="I818" i="1"/>
  <c r="S818" i="1" s="1"/>
  <c r="I819" i="1"/>
  <c r="S819" i="1" s="1"/>
  <c r="I820" i="1"/>
  <c r="S820" i="1" s="1"/>
  <c r="I821" i="1"/>
  <c r="S821" i="1" s="1"/>
  <c r="I822" i="1"/>
  <c r="S822" i="1" s="1"/>
  <c r="I823" i="1"/>
  <c r="S823" i="1" s="1"/>
  <c r="I824" i="1"/>
  <c r="S824" i="1" s="1"/>
  <c r="I825" i="1"/>
  <c r="S825" i="1" s="1"/>
  <c r="I826" i="1"/>
  <c r="S826" i="1" s="1"/>
  <c r="I827" i="1"/>
  <c r="S827" i="1" s="1"/>
  <c r="I828" i="1"/>
  <c r="S828" i="1" s="1"/>
  <c r="I829" i="1"/>
  <c r="S829" i="1" s="1"/>
  <c r="I830" i="1"/>
  <c r="S830" i="1" s="1"/>
  <c r="I831" i="1"/>
  <c r="S831" i="1" s="1"/>
  <c r="I832" i="1"/>
  <c r="S832" i="1" s="1"/>
  <c r="I833" i="1"/>
  <c r="S833" i="1" s="1"/>
  <c r="I834" i="1"/>
  <c r="S834" i="1" s="1"/>
  <c r="I835" i="1"/>
  <c r="S835" i="1" s="1"/>
  <c r="I836" i="1"/>
  <c r="S836" i="1" s="1"/>
  <c r="I837" i="1"/>
  <c r="S837" i="1" s="1"/>
  <c r="I838" i="1"/>
  <c r="S838" i="1" s="1"/>
  <c r="I839" i="1"/>
  <c r="S839" i="1" s="1"/>
  <c r="I840" i="1"/>
  <c r="S840" i="1" s="1"/>
  <c r="I841" i="1"/>
  <c r="S841" i="1" s="1"/>
  <c r="I842" i="1"/>
  <c r="S842" i="1" s="1"/>
  <c r="I843" i="1"/>
  <c r="S843" i="1" s="1"/>
  <c r="I844" i="1"/>
  <c r="S844" i="1" s="1"/>
  <c r="I845" i="1"/>
  <c r="S845" i="1" s="1"/>
  <c r="I846" i="1"/>
  <c r="S846" i="1" s="1"/>
  <c r="I847" i="1"/>
  <c r="S847" i="1" s="1"/>
  <c r="I848" i="1"/>
  <c r="S848" i="1" s="1"/>
  <c r="I849" i="1"/>
  <c r="S849" i="1" s="1"/>
  <c r="I850" i="1"/>
  <c r="S850" i="1" s="1"/>
  <c r="I851" i="1"/>
  <c r="S851" i="1" s="1"/>
  <c r="I852" i="1"/>
  <c r="S852" i="1" s="1"/>
  <c r="I853" i="1"/>
  <c r="S853" i="1" s="1"/>
  <c r="I854" i="1"/>
  <c r="S854" i="1" s="1"/>
  <c r="I855" i="1"/>
  <c r="S855" i="1" s="1"/>
  <c r="I856" i="1"/>
  <c r="S856" i="1" s="1"/>
  <c r="I857" i="1"/>
  <c r="S857" i="1" s="1"/>
  <c r="I858" i="1"/>
  <c r="S858" i="1" s="1"/>
  <c r="I859" i="1"/>
  <c r="S859" i="1" s="1"/>
  <c r="I860" i="1"/>
  <c r="S860" i="1" s="1"/>
  <c r="I861" i="1"/>
  <c r="S861" i="1" s="1"/>
  <c r="I862" i="1"/>
  <c r="S862" i="1" s="1"/>
  <c r="I863" i="1"/>
  <c r="S863" i="1" s="1"/>
  <c r="I864" i="1"/>
  <c r="S864" i="1" s="1"/>
  <c r="I865" i="1"/>
  <c r="S865" i="1" s="1"/>
  <c r="I866" i="1"/>
  <c r="S866" i="1" s="1"/>
  <c r="I867" i="1"/>
  <c r="S867" i="1" s="1"/>
  <c r="I868" i="1"/>
  <c r="S868" i="1" s="1"/>
  <c r="I869" i="1"/>
  <c r="S869" i="1" s="1"/>
  <c r="I870" i="1"/>
  <c r="S870" i="1" s="1"/>
  <c r="I871" i="1"/>
  <c r="S871" i="1" s="1"/>
  <c r="I872" i="1"/>
  <c r="S872" i="1" s="1"/>
  <c r="I873" i="1"/>
  <c r="S873" i="1" s="1"/>
  <c r="I874" i="1"/>
  <c r="S874" i="1" s="1"/>
  <c r="I875" i="1"/>
  <c r="S875" i="1" s="1"/>
  <c r="I876" i="1"/>
  <c r="S876" i="1" s="1"/>
  <c r="I877" i="1"/>
  <c r="S877" i="1" s="1"/>
  <c r="I878" i="1"/>
  <c r="S878" i="1" s="1"/>
  <c r="I879" i="1"/>
  <c r="S879" i="1" s="1"/>
  <c r="I880" i="1"/>
  <c r="S880" i="1" s="1"/>
  <c r="I881" i="1"/>
  <c r="S881" i="1" s="1"/>
  <c r="I882" i="1"/>
  <c r="S882" i="1" s="1"/>
  <c r="I883" i="1"/>
  <c r="S883" i="1" s="1"/>
  <c r="I884" i="1"/>
  <c r="S884" i="1" s="1"/>
  <c r="I885" i="1"/>
  <c r="S885" i="1" s="1"/>
  <c r="I886" i="1"/>
  <c r="S886" i="1" s="1"/>
  <c r="I887" i="1"/>
  <c r="S887" i="1" s="1"/>
  <c r="I888" i="1"/>
  <c r="S888" i="1" s="1"/>
  <c r="I889" i="1"/>
  <c r="S889" i="1" s="1"/>
  <c r="I890" i="1"/>
  <c r="S890" i="1" s="1"/>
  <c r="I891" i="1"/>
  <c r="S891" i="1" s="1"/>
  <c r="I892" i="1"/>
  <c r="S892" i="1" s="1"/>
  <c r="I893" i="1"/>
  <c r="S893" i="1" s="1"/>
  <c r="I894" i="1"/>
  <c r="S894" i="1" s="1"/>
  <c r="I895" i="1"/>
  <c r="S895" i="1" s="1"/>
  <c r="I896" i="1"/>
  <c r="S896" i="1" s="1"/>
  <c r="I897" i="1"/>
  <c r="S897" i="1" s="1"/>
  <c r="I898" i="1"/>
  <c r="S898" i="1" s="1"/>
  <c r="I899" i="1"/>
  <c r="S899" i="1" s="1"/>
  <c r="I900" i="1"/>
  <c r="S900" i="1" s="1"/>
  <c r="I901" i="1"/>
  <c r="S901" i="1" s="1"/>
  <c r="I902" i="1"/>
  <c r="S902" i="1" s="1"/>
  <c r="I903" i="1"/>
  <c r="S903" i="1" s="1"/>
  <c r="I904" i="1"/>
  <c r="S904" i="1" s="1"/>
  <c r="I905" i="1"/>
  <c r="S905" i="1" s="1"/>
  <c r="I906" i="1"/>
  <c r="S906" i="1" s="1"/>
  <c r="I907" i="1"/>
  <c r="S907" i="1" s="1"/>
  <c r="I908" i="1"/>
  <c r="S908" i="1" s="1"/>
  <c r="I909" i="1"/>
  <c r="S909" i="1" s="1"/>
  <c r="I910" i="1"/>
  <c r="S910" i="1" s="1"/>
  <c r="I911" i="1"/>
  <c r="S911" i="1" s="1"/>
  <c r="I912" i="1"/>
  <c r="S912" i="1" s="1"/>
  <c r="I913" i="1"/>
  <c r="S913" i="1" s="1"/>
  <c r="I914" i="1"/>
  <c r="S914" i="1" s="1"/>
  <c r="I915" i="1"/>
  <c r="S915" i="1" s="1"/>
  <c r="I916" i="1"/>
  <c r="S916" i="1" s="1"/>
  <c r="I917" i="1"/>
  <c r="S917" i="1" s="1"/>
  <c r="I918" i="1"/>
  <c r="S918" i="1" s="1"/>
  <c r="I919" i="1"/>
  <c r="S919" i="1" s="1"/>
  <c r="I920" i="1"/>
  <c r="S920" i="1" s="1"/>
  <c r="I921" i="1"/>
  <c r="S921" i="1" s="1"/>
  <c r="I922" i="1"/>
  <c r="S922" i="1" s="1"/>
  <c r="I923" i="1"/>
  <c r="S923" i="1" s="1"/>
  <c r="I924" i="1"/>
  <c r="S924" i="1" s="1"/>
  <c r="I925" i="1"/>
  <c r="S925" i="1" s="1"/>
  <c r="I926" i="1"/>
  <c r="S926" i="1" s="1"/>
  <c r="I927" i="1"/>
  <c r="S927" i="1" s="1"/>
  <c r="I928" i="1"/>
  <c r="S928" i="1" s="1"/>
  <c r="I929" i="1"/>
  <c r="S929" i="1" s="1"/>
  <c r="I930" i="1"/>
  <c r="S930" i="1" s="1"/>
  <c r="I931" i="1"/>
  <c r="S931" i="1" s="1"/>
  <c r="I932" i="1"/>
  <c r="S932" i="1" s="1"/>
  <c r="I933" i="1"/>
  <c r="S933" i="1" s="1"/>
  <c r="I934" i="1"/>
  <c r="S934" i="1" s="1"/>
  <c r="I935" i="1"/>
  <c r="S935" i="1" s="1"/>
  <c r="I936" i="1"/>
  <c r="S936" i="1" s="1"/>
  <c r="I937" i="1"/>
  <c r="S937" i="1" s="1"/>
  <c r="I938" i="1"/>
  <c r="S938" i="1" s="1"/>
  <c r="I939" i="1"/>
  <c r="S939" i="1" s="1"/>
  <c r="I940" i="1"/>
  <c r="S940" i="1" s="1"/>
  <c r="I941" i="1"/>
  <c r="S941" i="1" s="1"/>
  <c r="I942" i="1"/>
  <c r="S942" i="1" s="1"/>
  <c r="I943" i="1"/>
  <c r="S943" i="1" s="1"/>
  <c r="I944" i="1"/>
  <c r="S944" i="1" s="1"/>
  <c r="I945" i="1"/>
  <c r="S945" i="1" s="1"/>
  <c r="I946" i="1"/>
  <c r="S946" i="1" s="1"/>
  <c r="I947" i="1"/>
  <c r="S947" i="1" s="1"/>
  <c r="I948" i="1"/>
  <c r="S948" i="1" s="1"/>
  <c r="I949" i="1"/>
  <c r="S949" i="1" s="1"/>
  <c r="I950" i="1"/>
  <c r="S950" i="1" s="1"/>
  <c r="I951" i="1"/>
  <c r="S951" i="1" s="1"/>
  <c r="I952" i="1"/>
  <c r="S952" i="1" s="1"/>
  <c r="I953" i="1"/>
  <c r="S953" i="1" s="1"/>
  <c r="I954" i="1"/>
  <c r="S954" i="1" s="1"/>
  <c r="I955" i="1"/>
  <c r="S955" i="1" s="1"/>
  <c r="I956" i="1"/>
  <c r="S956" i="1" s="1"/>
  <c r="I957" i="1"/>
  <c r="S957" i="1" s="1"/>
  <c r="I958" i="1"/>
  <c r="S958" i="1" s="1"/>
  <c r="I959" i="1"/>
  <c r="S959" i="1" s="1"/>
  <c r="I960" i="1"/>
  <c r="S960" i="1" s="1"/>
  <c r="I961" i="1"/>
  <c r="S961" i="1" s="1"/>
  <c r="I962" i="1"/>
  <c r="S962" i="1" s="1"/>
  <c r="I963" i="1"/>
  <c r="S963" i="1" s="1"/>
  <c r="I964" i="1"/>
  <c r="S964" i="1" s="1"/>
  <c r="I965" i="1"/>
  <c r="S965" i="1" s="1"/>
  <c r="I966" i="1"/>
  <c r="S966" i="1" s="1"/>
  <c r="I967" i="1"/>
  <c r="S967" i="1" s="1"/>
  <c r="I968" i="1"/>
  <c r="S968" i="1" s="1"/>
  <c r="I969" i="1"/>
  <c r="S969" i="1" s="1"/>
  <c r="I970" i="1"/>
  <c r="S970" i="1" s="1"/>
  <c r="I971" i="1"/>
  <c r="S971" i="1" s="1"/>
  <c r="I972" i="1"/>
  <c r="S972" i="1" s="1"/>
  <c r="I973" i="1"/>
  <c r="S973" i="1" s="1"/>
  <c r="I974" i="1"/>
  <c r="S974" i="1" s="1"/>
  <c r="I975" i="1"/>
  <c r="S975" i="1" s="1"/>
  <c r="I976" i="1"/>
  <c r="S976" i="1" s="1"/>
  <c r="I977" i="1"/>
  <c r="S977" i="1" s="1"/>
  <c r="I978" i="1"/>
  <c r="S978" i="1" s="1"/>
  <c r="I979" i="1"/>
  <c r="S979" i="1" s="1"/>
  <c r="I980" i="1"/>
  <c r="S980" i="1" s="1"/>
  <c r="I981" i="1"/>
  <c r="S981" i="1" s="1"/>
  <c r="I982" i="1"/>
  <c r="S982" i="1" s="1"/>
  <c r="I983" i="1"/>
  <c r="S983" i="1" s="1"/>
  <c r="I984" i="1"/>
  <c r="S984" i="1" s="1"/>
  <c r="I985" i="1"/>
  <c r="S985" i="1" s="1"/>
  <c r="I986" i="1"/>
  <c r="S986" i="1" s="1"/>
  <c r="I987" i="1"/>
  <c r="S987" i="1" s="1"/>
  <c r="I988" i="1"/>
  <c r="S988" i="1" s="1"/>
  <c r="I989" i="1"/>
  <c r="S989" i="1" s="1"/>
  <c r="I990" i="1"/>
  <c r="S990" i="1" s="1"/>
  <c r="I991" i="1"/>
  <c r="S991" i="1" s="1"/>
  <c r="I992" i="1"/>
  <c r="S992" i="1" s="1"/>
  <c r="I993" i="1"/>
  <c r="S993" i="1" s="1"/>
  <c r="I994" i="1"/>
  <c r="S994" i="1" s="1"/>
  <c r="I995" i="1"/>
  <c r="S995" i="1" s="1"/>
  <c r="I996" i="1"/>
  <c r="S996" i="1" s="1"/>
  <c r="I997" i="1"/>
  <c r="S997" i="1" s="1"/>
  <c r="I998" i="1"/>
  <c r="S998" i="1" s="1"/>
  <c r="I999" i="1"/>
  <c r="S999" i="1" s="1"/>
  <c r="I1000" i="1"/>
  <c r="S1000" i="1" s="1"/>
  <c r="I1001" i="1"/>
  <c r="S1001" i="1" s="1"/>
  <c r="I3" i="1"/>
  <c r="S3" i="1" s="1"/>
  <c r="I4" i="1"/>
  <c r="S4" i="1" s="1"/>
  <c r="I5" i="1"/>
  <c r="S5" i="1" s="1"/>
  <c r="I6" i="1"/>
  <c r="S6" i="1" s="1"/>
  <c r="I7" i="1"/>
  <c r="S7" i="1" s="1"/>
  <c r="I8" i="1"/>
  <c r="S8" i="1" s="1"/>
  <c r="I9" i="1"/>
  <c r="S9" i="1" s="1"/>
  <c r="I10" i="1"/>
  <c r="S10" i="1" s="1"/>
  <c r="I11" i="1"/>
  <c r="S11" i="1" s="1"/>
  <c r="I12" i="1"/>
  <c r="S12" i="1" s="1"/>
  <c r="I13" i="1"/>
  <c r="S13" i="1" s="1"/>
  <c r="I14" i="1"/>
  <c r="S14" i="1" s="1"/>
  <c r="I15" i="1"/>
  <c r="S15" i="1" s="1"/>
  <c r="I16" i="1"/>
  <c r="S16" i="1" s="1"/>
  <c r="I17" i="1"/>
  <c r="S17" i="1" s="1"/>
  <c r="I18" i="1"/>
  <c r="S18" i="1" s="1"/>
  <c r="I19" i="1"/>
  <c r="S19" i="1" s="1"/>
  <c r="I20" i="1"/>
  <c r="S20" i="1" s="1"/>
  <c r="I2" i="1"/>
  <c r="S2" i="1" s="1"/>
  <c r="A5" i="2"/>
  <c r="K7" i="2"/>
  <c r="F6" i="2"/>
  <c r="E13" i="2"/>
  <c r="E12" i="2"/>
  <c r="D5" i="2"/>
</calcChain>
</file>

<file path=xl/sharedStrings.xml><?xml version="1.0" encoding="utf-8"?>
<sst xmlns="http://schemas.openxmlformats.org/spreadsheetml/2006/main" count="11621" uniqueCount="1481">
  <si>
    <t>Employee_ID</t>
  </si>
  <si>
    <t>Employee_Name</t>
  </si>
  <si>
    <t>Age</t>
  </si>
  <si>
    <t>Age_Group</t>
  </si>
  <si>
    <t>Gender</t>
  </si>
  <si>
    <t>Department</t>
  </si>
  <si>
    <t>Education</t>
  </si>
  <si>
    <t>Hire_Date</t>
  </si>
  <si>
    <t>Exit_Date</t>
  </si>
  <si>
    <t>Attrition</t>
  </si>
  <si>
    <t>Performance_Rating</t>
  </si>
  <si>
    <t>Monthly_Salary_INR</t>
  </si>
  <si>
    <t>Salary_Band</t>
  </si>
  <si>
    <t>Tenure_Band</t>
  </si>
  <si>
    <t>Tenure_Years</t>
  </si>
  <si>
    <t>Recruitment_Source</t>
  </si>
  <si>
    <t>Work_Location</t>
  </si>
  <si>
    <t>Hire_Year</t>
  </si>
  <si>
    <t>EMP0001</t>
  </si>
  <si>
    <t>Neha Joshi</t>
  </si>
  <si>
    <t>46–55</t>
  </si>
  <si>
    <t>Male</t>
  </si>
  <si>
    <t>Finance</t>
  </si>
  <si>
    <t>Bachelor's</t>
  </si>
  <si>
    <t>No</t>
  </si>
  <si>
    <t>100k+</t>
  </si>
  <si>
    <t>10+ years</t>
  </si>
  <si>
    <t>LinkedIn</t>
  </si>
  <si>
    <t>Coimbatore</t>
  </si>
  <si>
    <t>EMP0002</t>
  </si>
  <si>
    <t>Aisha Das</t>
  </si>
  <si>
    <t>26–35</t>
  </si>
  <si>
    <t>Female</t>
  </si>
  <si>
    <t>Master's</t>
  </si>
  <si>
    <t>50k–75k</t>
  </si>
  <si>
    <t>Company Website</t>
  </si>
  <si>
    <t>Pune</t>
  </si>
  <si>
    <t>EMP0003</t>
  </si>
  <si>
    <t>Aditya Jain</t>
  </si>
  <si>
    <t>18–25</t>
  </si>
  <si>
    <t>Sales</t>
  </si>
  <si>
    <t>High School</t>
  </si>
  <si>
    <t>30k–50k</t>
  </si>
  <si>
    <t>0–1 years</t>
  </si>
  <si>
    <t>Delhi</t>
  </si>
  <si>
    <t>EMP0004</t>
  </si>
  <si>
    <t>Neha Gupta</t>
  </si>
  <si>
    <t>Technology</t>
  </si>
  <si>
    <t>Diploma</t>
  </si>
  <si>
    <t>Yes</t>
  </si>
  <si>
    <t>3–5 years</t>
  </si>
  <si>
    <t>Job Portal</t>
  </si>
  <si>
    <t>EMP0005</t>
  </si>
  <si>
    <t>Lakshmi Patel</t>
  </si>
  <si>
    <t>56+</t>
  </si>
  <si>
    <t>Operations</t>
  </si>
  <si>
    <t>1–3 years</t>
  </si>
  <si>
    <t>Employee Referral</t>
  </si>
  <si>
    <t>Chennai</t>
  </si>
  <si>
    <t>EMP0006</t>
  </si>
  <si>
    <t>Meera Kannan</t>
  </si>
  <si>
    <t>36–45</t>
  </si>
  <si>
    <t>Hyderabad</t>
  </si>
  <si>
    <t>EMP0007</t>
  </si>
  <si>
    <t>Naveen Reddy</t>
  </si>
  <si>
    <t>Legal</t>
  </si>
  <si>
    <t>75k–100k</t>
  </si>
  <si>
    <t>EMP0008</t>
  </si>
  <si>
    <t>Manoj Verma</t>
  </si>
  <si>
    <t>EMP0009</t>
  </si>
  <si>
    <t>Nisha Krishnan</t>
  </si>
  <si>
    <t>EMP0010</t>
  </si>
  <si>
    <t>Sanjay Joshi</t>
  </si>
  <si>
    <t>Customer Support</t>
  </si>
  <si>
    <t>EMP0011</t>
  </si>
  <si>
    <t>Keerthi Gupta</t>
  </si>
  <si>
    <t>Kochi</t>
  </si>
  <si>
    <t>EMP0012</t>
  </si>
  <si>
    <t>Meera Sharma</t>
  </si>
  <si>
    <t>5–10 years</t>
  </si>
  <si>
    <t>EMP0013</t>
  </si>
  <si>
    <t>Sana Singh</t>
  </si>
  <si>
    <t>Below 30k</t>
  </si>
  <si>
    <t>Recruitment Agency</t>
  </si>
  <si>
    <t>EMP0014</t>
  </si>
  <si>
    <t>Meera Verma</t>
  </si>
  <si>
    <t>Mumbai</t>
  </si>
  <si>
    <t>EMP0015</t>
  </si>
  <si>
    <t>Ananya Menon</t>
  </si>
  <si>
    <t>EMP0016</t>
  </si>
  <si>
    <t>Ananya Sharma</t>
  </si>
  <si>
    <t>EMP0017</t>
  </si>
  <si>
    <t>Bengaluru</t>
  </si>
  <si>
    <t>EMP0018</t>
  </si>
  <si>
    <t>Naveen Iyer</t>
  </si>
  <si>
    <t>EMP0019</t>
  </si>
  <si>
    <t>Ishita Reddy</t>
  </si>
  <si>
    <t>EMP0020</t>
  </si>
  <si>
    <t>Suresh Kannan</t>
  </si>
  <si>
    <t>EMP0021</t>
  </si>
  <si>
    <t>Aarav Sharma</t>
  </si>
  <si>
    <t>EMP0022</t>
  </si>
  <si>
    <t>Keerthi Rao</t>
  </si>
  <si>
    <t>EMP0023</t>
  </si>
  <si>
    <t>Nisha Iyer</t>
  </si>
  <si>
    <t>EMP0024</t>
  </si>
  <si>
    <t>Rahul Gupta</t>
  </si>
  <si>
    <t>EMP0025</t>
  </si>
  <si>
    <t>Priya Joshi</t>
  </si>
  <si>
    <t>Human Resources</t>
  </si>
  <si>
    <t>EMP0026</t>
  </si>
  <si>
    <t>Vikram Patel</t>
  </si>
  <si>
    <t>EMP0027</t>
  </si>
  <si>
    <t>Rahul Iyer</t>
  </si>
  <si>
    <t>PhD</t>
  </si>
  <si>
    <t>EMP0028</t>
  </si>
  <si>
    <t>Kavya Nair</t>
  </si>
  <si>
    <t>EMP0029</t>
  </si>
  <si>
    <t>Pooja Jain</t>
  </si>
  <si>
    <t>EMP0030</t>
  </si>
  <si>
    <t>Kavya Joshi</t>
  </si>
  <si>
    <t>EMP0031</t>
  </si>
  <si>
    <t>Vikram Reddy</t>
  </si>
  <si>
    <t>EMP0032</t>
  </si>
  <si>
    <t>Aisha Krishnan</t>
  </si>
  <si>
    <t>Campus Hiring</t>
  </si>
  <si>
    <t>EMP0033</t>
  </si>
  <si>
    <t>Ishita Das</t>
  </si>
  <si>
    <t>EMP0034</t>
  </si>
  <si>
    <t>Arjun Nair</t>
  </si>
  <si>
    <t>EMP0035</t>
  </si>
  <si>
    <t>EMP0036</t>
  </si>
  <si>
    <t>Aisha Kumar</t>
  </si>
  <si>
    <t>EMP0037</t>
  </si>
  <si>
    <t>Keerthi Krishnan</t>
  </si>
  <si>
    <t>EMP0038</t>
  </si>
  <si>
    <t>Kavya Menon</t>
  </si>
  <si>
    <t>EMP0039</t>
  </si>
  <si>
    <t>Meera Shah</t>
  </si>
  <si>
    <t>EMP0040</t>
  </si>
  <si>
    <t>Pooja Kumar</t>
  </si>
  <si>
    <t>EMP0041</t>
  </si>
  <si>
    <t>Kiran Patel</t>
  </si>
  <si>
    <t>EMP0042</t>
  </si>
  <si>
    <t>Vikram Shah</t>
  </si>
  <si>
    <t>EMP0043</t>
  </si>
  <si>
    <t>Kavya Jain</t>
  </si>
  <si>
    <t>EMP0044</t>
  </si>
  <si>
    <t>Sana Das</t>
  </si>
  <si>
    <t>EMP0045</t>
  </si>
  <si>
    <t>Suresh Rao</t>
  </si>
  <si>
    <t>Marketing</t>
  </si>
  <si>
    <t>EMP0046</t>
  </si>
  <si>
    <t>Rahul Singh</t>
  </si>
  <si>
    <t>EMP0047</t>
  </si>
  <si>
    <t>Rahul Das</t>
  </si>
  <si>
    <t>EMP0048</t>
  </si>
  <si>
    <t>EMP0049</t>
  </si>
  <si>
    <t>Kiran Krishnan</t>
  </si>
  <si>
    <t>EMP0050</t>
  </si>
  <si>
    <t>EMP0051</t>
  </si>
  <si>
    <t>Ananya Shah</t>
  </si>
  <si>
    <t>EMP0052</t>
  </si>
  <si>
    <t>Rahul Nair</t>
  </si>
  <si>
    <t>EMP0053</t>
  </si>
  <si>
    <t>Divya Krishnan</t>
  </si>
  <si>
    <t>EMP0054</t>
  </si>
  <si>
    <t>Rohan Gupta</t>
  </si>
  <si>
    <t>EMP0055</t>
  </si>
  <si>
    <t>Neha Menon</t>
  </si>
  <si>
    <t>EMP0056</t>
  </si>
  <si>
    <t>Priya Verma</t>
  </si>
  <si>
    <t>EMP0057</t>
  </si>
  <si>
    <t>Ishita Joshi</t>
  </si>
  <si>
    <t>EMP0058</t>
  </si>
  <si>
    <t>Vikram Gupta</t>
  </si>
  <si>
    <t>EMP0059</t>
  </si>
  <si>
    <t>Ishita Verma</t>
  </si>
  <si>
    <t>EMP0060</t>
  </si>
  <si>
    <t>Neha Krishnan</t>
  </si>
  <si>
    <t>EMP0061</t>
  </si>
  <si>
    <t>Aarav Iyer</t>
  </si>
  <si>
    <t>EMP0062</t>
  </si>
  <si>
    <t>Sana Patel</t>
  </si>
  <si>
    <t>EMP0063</t>
  </si>
  <si>
    <t>Sana Iyer</t>
  </si>
  <si>
    <t>EMP0064</t>
  </si>
  <si>
    <t>Arjun Shah</t>
  </si>
  <si>
    <t>EMP0065</t>
  </si>
  <si>
    <t>Sana Kumar</t>
  </si>
  <si>
    <t>EMP0066</t>
  </si>
  <si>
    <t>EMP0067</t>
  </si>
  <si>
    <t>Ananya Verma</t>
  </si>
  <si>
    <t>EMP0068</t>
  </si>
  <si>
    <t>Arjun  Kannan</t>
  </si>
  <si>
    <t>EMP0069</t>
  </si>
  <si>
    <t>Sana Gupta</t>
  </si>
  <si>
    <t>EMP0070</t>
  </si>
  <si>
    <t>EMP0071</t>
  </si>
  <si>
    <t>Vikram Bose</t>
  </si>
  <si>
    <t>EMP0072</t>
  </si>
  <si>
    <t>Divya Menon</t>
  </si>
  <si>
    <t>EMP0073</t>
  </si>
  <si>
    <t>Ishita Singh</t>
  </si>
  <si>
    <t>EMP0074</t>
  </si>
  <si>
    <t>Anil Kumar</t>
  </si>
  <si>
    <t>EMP0075</t>
  </si>
  <si>
    <t>Rohan Singh</t>
  </si>
  <si>
    <t>EMP0076</t>
  </si>
  <si>
    <t>Kiran Shah</t>
  </si>
  <si>
    <t>EMP0077</t>
  </si>
  <si>
    <t>EMP0078</t>
  </si>
  <si>
    <t>Rohan Nair</t>
  </si>
  <si>
    <t>EMP0079</t>
  </si>
  <si>
    <t>Kavya Kannan</t>
  </si>
  <si>
    <t>EMP0080</t>
  </si>
  <si>
    <t>Neha Nair</t>
  </si>
  <si>
    <t>EMP0081</t>
  </si>
  <si>
    <t>Neha Iyer</t>
  </si>
  <si>
    <t>EMP0082</t>
  </si>
  <si>
    <t>Sana Reddy</t>
  </si>
  <si>
    <t>EMP0083</t>
  </si>
  <si>
    <t>Suresh Reddy</t>
  </si>
  <si>
    <t>EMP0084</t>
  </si>
  <si>
    <t>Anil Nair</t>
  </si>
  <si>
    <t>EMP0085</t>
  </si>
  <si>
    <t>Rahul Menon</t>
  </si>
  <si>
    <t>EMP0086</t>
  </si>
  <si>
    <t>EMP0087</t>
  </si>
  <si>
    <t>Ishita Kumar</t>
  </si>
  <si>
    <t>EMP0088</t>
  </si>
  <si>
    <t>Meera Jain</t>
  </si>
  <si>
    <t>EMP0089</t>
  </si>
  <si>
    <t>EMP0090</t>
  </si>
  <si>
    <t>Manoj Sharma</t>
  </si>
  <si>
    <t>EMP0091</t>
  </si>
  <si>
    <t>Lakshmi Verma</t>
  </si>
  <si>
    <t>EMP0092</t>
  </si>
  <si>
    <t>Aditya Bose</t>
  </si>
  <si>
    <t>EMP0093</t>
  </si>
  <si>
    <t>Naveen Shah</t>
  </si>
  <si>
    <t>EMP0094</t>
  </si>
  <si>
    <t>Pooja Kannan</t>
  </si>
  <si>
    <t>EMP0095</t>
  </si>
  <si>
    <t>EMP0096</t>
  </si>
  <si>
    <t>EMP0097</t>
  </si>
  <si>
    <t>EMP0098</t>
  </si>
  <si>
    <t>Suresh Verma</t>
  </si>
  <si>
    <t>EMP0099</t>
  </si>
  <si>
    <t>Keerthi Menon</t>
  </si>
  <si>
    <t>EMP0100</t>
  </si>
  <si>
    <t>Meera Gupta</t>
  </si>
  <si>
    <t>EMP0101</t>
  </si>
  <si>
    <t>EMP0102</t>
  </si>
  <si>
    <t>EMP0103</t>
  </si>
  <si>
    <t>Lakshmi Kumar</t>
  </si>
  <si>
    <t>EMP0104</t>
  </si>
  <si>
    <t>Aarav Das</t>
  </si>
  <si>
    <t>EMP0105</t>
  </si>
  <si>
    <t>Kavya Rao</t>
  </si>
  <si>
    <t>EMP0106</t>
  </si>
  <si>
    <t>Ananya Nair</t>
  </si>
  <si>
    <t>EMP0107</t>
  </si>
  <si>
    <t>EMP0108</t>
  </si>
  <si>
    <t>Suresh Iyer</t>
  </si>
  <si>
    <t>EMP0109</t>
  </si>
  <si>
    <t>Vikram Singh</t>
  </si>
  <si>
    <t>EMP0110</t>
  </si>
  <si>
    <t>EMP0111</t>
  </si>
  <si>
    <t>Nisha Gupta</t>
  </si>
  <si>
    <t>EMP0112</t>
  </si>
  <si>
    <t>Anil Shah</t>
  </si>
  <si>
    <t>EMP0113</t>
  </si>
  <si>
    <t>Aarav Jain</t>
  </si>
  <si>
    <t>EMP0114</t>
  </si>
  <si>
    <t>Aarav Nair</t>
  </si>
  <si>
    <t>EMP0115</t>
  </si>
  <si>
    <t>EMP0116</t>
  </si>
  <si>
    <t>Sanjay Jain</t>
  </si>
  <si>
    <t>EMP0117</t>
  </si>
  <si>
    <t>EMP0118</t>
  </si>
  <si>
    <t>EMP0119</t>
  </si>
  <si>
    <t>Keerthi Iyer</t>
  </si>
  <si>
    <t>EMP0120</t>
  </si>
  <si>
    <t>Priya Nair</t>
  </si>
  <si>
    <t>EMP0121</t>
  </si>
  <si>
    <t>Arjun Kumar</t>
  </si>
  <si>
    <t>EMP0122</t>
  </si>
  <si>
    <t>Nisha Verma</t>
  </si>
  <si>
    <t>EMP0123</t>
  </si>
  <si>
    <t>Manoj Singh</t>
  </si>
  <si>
    <t>EMP0124</t>
  </si>
  <si>
    <t>Neha Shah</t>
  </si>
  <si>
    <t>EMP0125</t>
  </si>
  <si>
    <t>Nisha Das</t>
  </si>
  <si>
    <t>EMP0126</t>
  </si>
  <si>
    <t>Rohan Shah</t>
  </si>
  <si>
    <t>EMP0127</t>
  </si>
  <si>
    <t>Aditya Singh</t>
  </si>
  <si>
    <t>EMP0128</t>
  </si>
  <si>
    <t>Rohan Kumar</t>
  </si>
  <si>
    <t>EMP0129</t>
  </si>
  <si>
    <t>Sana Verma</t>
  </si>
  <si>
    <t>EMP0130</t>
  </si>
  <si>
    <t>Naveen Bose</t>
  </si>
  <si>
    <t>EMP0131</t>
  </si>
  <si>
    <t>EMP0132</t>
  </si>
  <si>
    <t>Manoj Kumar</t>
  </si>
  <si>
    <t>EMP0133</t>
  </si>
  <si>
    <t>Kavya Patel</t>
  </si>
  <si>
    <t>EMP0134</t>
  </si>
  <si>
    <t>Ishita Gupta</t>
  </si>
  <si>
    <t>EMP0135</t>
  </si>
  <si>
    <t>Keerthi  Menon</t>
  </si>
  <si>
    <t>EMP0136</t>
  </si>
  <si>
    <t>Rohan Krishnan</t>
  </si>
  <si>
    <t>EMP0137</t>
  </si>
  <si>
    <t>EMP0138</t>
  </si>
  <si>
    <t>Vikram Kannan</t>
  </si>
  <si>
    <t>EMP0139</t>
  </si>
  <si>
    <t>Meera Patel</t>
  </si>
  <si>
    <t>EMP0140</t>
  </si>
  <si>
    <t>EMP0141</t>
  </si>
  <si>
    <t>Pooja Singh</t>
  </si>
  <si>
    <t>EMP0142</t>
  </si>
  <si>
    <t>Arjun Rao</t>
  </si>
  <si>
    <t>EMP0143</t>
  </si>
  <si>
    <t>Rahul Jain</t>
  </si>
  <si>
    <t>EMP0144</t>
  </si>
  <si>
    <t>EMP0145</t>
  </si>
  <si>
    <t>Ananya Krishnan</t>
  </si>
  <si>
    <t>EMP0146</t>
  </si>
  <si>
    <t>Kiran Sharma</t>
  </si>
  <si>
    <t>EMP0147</t>
  </si>
  <si>
    <t>Rahul Kumar</t>
  </si>
  <si>
    <t>EMP0148</t>
  </si>
  <si>
    <t>Vikram Verma</t>
  </si>
  <si>
    <t>EMP0149</t>
  </si>
  <si>
    <t>Naveen Sharma</t>
  </si>
  <si>
    <t>EMP0150</t>
  </si>
  <si>
    <t>Anil Menon</t>
  </si>
  <si>
    <t>EMP0151</t>
  </si>
  <si>
    <t>Suresh Joshi</t>
  </si>
  <si>
    <t>EMP0152</t>
  </si>
  <si>
    <t>Neha Singh</t>
  </si>
  <si>
    <t>EMP0153</t>
  </si>
  <si>
    <t>Anil Sharma</t>
  </si>
  <si>
    <t>EMP0154</t>
  </si>
  <si>
    <t>Manoj Iyer</t>
  </si>
  <si>
    <t>EMP0155</t>
  </si>
  <si>
    <t>Vikram Sharma</t>
  </si>
  <si>
    <t>EMP0156</t>
  </si>
  <si>
    <t>Priya Iyer</t>
  </si>
  <si>
    <t>EMP0157</t>
  </si>
  <si>
    <t>EMP0158</t>
  </si>
  <si>
    <t>Suresh Shah</t>
  </si>
  <si>
    <t>EMP0159</t>
  </si>
  <si>
    <t>EMP0160</t>
  </si>
  <si>
    <t>Rohan Rao</t>
  </si>
  <si>
    <t>EMP0161</t>
  </si>
  <si>
    <t>EMP0162</t>
  </si>
  <si>
    <t>Kiran Nair</t>
  </si>
  <si>
    <t>EMP0163</t>
  </si>
  <si>
    <t>EMP0164</t>
  </si>
  <si>
    <t>Neha Verma</t>
  </si>
  <si>
    <t>EMP0165</t>
  </si>
  <si>
    <t>Suresh Das</t>
  </si>
  <si>
    <t>EMP0166</t>
  </si>
  <si>
    <t>Naveen Joshi</t>
  </si>
  <si>
    <t>EMP0167</t>
  </si>
  <si>
    <t>Sanjay Verma</t>
  </si>
  <si>
    <t>EMP0168</t>
  </si>
  <si>
    <t>Anil Patel</t>
  </si>
  <si>
    <t>EMP0169</t>
  </si>
  <si>
    <t>EMP0170</t>
  </si>
  <si>
    <t>Kavya Verma</t>
  </si>
  <si>
    <t>EMP0171</t>
  </si>
  <si>
    <t>Divya Gupta</t>
  </si>
  <si>
    <t>EMP0172</t>
  </si>
  <si>
    <t>Vikram Kumar</t>
  </si>
  <si>
    <t>EMP0173</t>
  </si>
  <si>
    <t>Suresh Sharma</t>
  </si>
  <si>
    <t>EMP0174</t>
  </si>
  <si>
    <t>Aditya Shah</t>
  </si>
  <si>
    <t>EMP0175</t>
  </si>
  <si>
    <t>EMP0176</t>
  </si>
  <si>
    <t>Aisha Menon</t>
  </si>
  <si>
    <t>EMP0177</t>
  </si>
  <si>
    <t>EMP0178</t>
  </si>
  <si>
    <t>Rahul Kannan</t>
  </si>
  <si>
    <t>EMP0179</t>
  </si>
  <si>
    <t>Pooja Verma</t>
  </si>
  <si>
    <t>EMP0180</t>
  </si>
  <si>
    <t>Sanjay Reddy</t>
  </si>
  <si>
    <t>EMP0181</t>
  </si>
  <si>
    <t>Suresh Kumar</t>
  </si>
  <si>
    <t>EMP0182</t>
  </si>
  <si>
    <t>Divya Jain</t>
  </si>
  <si>
    <t>EMP0183</t>
  </si>
  <si>
    <t>EMP0184</t>
  </si>
  <si>
    <t>EMP0185</t>
  </si>
  <si>
    <t>Pooja Joshi</t>
  </si>
  <si>
    <t>EMP0186</t>
  </si>
  <si>
    <t>Nisha Rao</t>
  </si>
  <si>
    <t>EMP0187</t>
  </si>
  <si>
    <t>EMP0188</t>
  </si>
  <si>
    <t>EMP0189</t>
  </si>
  <si>
    <t>EMP0190</t>
  </si>
  <si>
    <t>Suresh Patel</t>
  </si>
  <si>
    <t>EMP0191</t>
  </si>
  <si>
    <t>Rohan Bose</t>
  </si>
  <si>
    <t>EMP0192</t>
  </si>
  <si>
    <t>Divya Patel</t>
  </si>
  <si>
    <t>EMP0193</t>
  </si>
  <si>
    <t>EMP0194</t>
  </si>
  <si>
    <t>Rahul Bose</t>
  </si>
  <si>
    <t>EMP0195</t>
  </si>
  <si>
    <t>Meera Menon</t>
  </si>
  <si>
    <t>EMP0196</t>
  </si>
  <si>
    <t>Manoj Menon</t>
  </si>
  <si>
    <t>EMP0197</t>
  </si>
  <si>
    <t>EMP0198</t>
  </si>
  <si>
    <t>Priya Kumar</t>
  </si>
  <si>
    <t>EMP0199</t>
  </si>
  <si>
    <t>EMP0200</t>
  </si>
  <si>
    <t>Kiran Rao</t>
  </si>
  <si>
    <t>EMP0201</t>
  </si>
  <si>
    <t>Keerthi Kumar</t>
  </si>
  <si>
    <t>EMP0202</t>
  </si>
  <si>
    <t>Kiran  Das</t>
  </si>
  <si>
    <t>EMP0203</t>
  </si>
  <si>
    <t>EMP0204</t>
  </si>
  <si>
    <t>Neha Jain</t>
  </si>
  <si>
    <t>EMP0205</t>
  </si>
  <si>
    <t>EMP0206</t>
  </si>
  <si>
    <t>Neha Rao</t>
  </si>
  <si>
    <t>EMP0207</t>
  </si>
  <si>
    <t>EMP0208</t>
  </si>
  <si>
    <t>Ishita Rao</t>
  </si>
  <si>
    <t>EMP0209</t>
  </si>
  <si>
    <t>Anil Joshi</t>
  </si>
  <si>
    <t>EMP0210</t>
  </si>
  <si>
    <t>Meera Singh</t>
  </si>
  <si>
    <t>EMP0211</t>
  </si>
  <si>
    <t>Keerthi Nair</t>
  </si>
  <si>
    <t>EMP0212</t>
  </si>
  <si>
    <t>Manoj Das</t>
  </si>
  <si>
    <t>EMP0213</t>
  </si>
  <si>
    <t>EMP0214</t>
  </si>
  <si>
    <t>EMP0215</t>
  </si>
  <si>
    <t>Kavya Iyer</t>
  </si>
  <si>
    <t>EMP0216</t>
  </si>
  <si>
    <t>EMP0217</t>
  </si>
  <si>
    <t>EMP0218</t>
  </si>
  <si>
    <t>Pooja Krishnan</t>
  </si>
  <si>
    <t>EMP0219</t>
  </si>
  <si>
    <t>EMP0220</t>
  </si>
  <si>
    <t>Arjun Menon</t>
  </si>
  <si>
    <t>EMP0221</t>
  </si>
  <si>
    <t>Sanjay Sharma</t>
  </si>
  <si>
    <t>EMP0222</t>
  </si>
  <si>
    <t>EMP0223</t>
  </si>
  <si>
    <t>Anil Iyer</t>
  </si>
  <si>
    <t>EMP0224</t>
  </si>
  <si>
    <t>Suresh Singh</t>
  </si>
  <si>
    <t>EMP0225</t>
  </si>
  <si>
    <t>EMP0226</t>
  </si>
  <si>
    <t>Lakshmi Singh</t>
  </si>
  <si>
    <t>EMP0227</t>
  </si>
  <si>
    <t>Vikram Das</t>
  </si>
  <si>
    <t>EMP0228</t>
  </si>
  <si>
    <t>Ananya Kumar</t>
  </si>
  <si>
    <t>EMP0229</t>
  </si>
  <si>
    <t>Priya Patel</t>
  </si>
  <si>
    <t>EMP0230</t>
  </si>
  <si>
    <t>Manoj Nair</t>
  </si>
  <si>
    <t>EMP0231</t>
  </si>
  <si>
    <t>EMP0232</t>
  </si>
  <si>
    <t>EMP0233</t>
  </si>
  <si>
    <t>Aditya Menon</t>
  </si>
  <si>
    <t>EMP0234</t>
  </si>
  <si>
    <t>EMP0235</t>
  </si>
  <si>
    <t>Nisha Kumar</t>
  </si>
  <si>
    <t>EMP0236</t>
  </si>
  <si>
    <t>EMP0237</t>
  </si>
  <si>
    <t>EMP0238</t>
  </si>
  <si>
    <t>EMP0239</t>
  </si>
  <si>
    <t>Anil Jain</t>
  </si>
  <si>
    <t>EMP0240</t>
  </si>
  <si>
    <t>Rahul Rao</t>
  </si>
  <si>
    <t>EMP0241</t>
  </si>
  <si>
    <t>EMP0242</t>
  </si>
  <si>
    <t>EMP0243</t>
  </si>
  <si>
    <t>Pooja Nair</t>
  </si>
  <si>
    <t>EMP0244</t>
  </si>
  <si>
    <t>Lakshmi Shah</t>
  </si>
  <si>
    <t>EMP0245</t>
  </si>
  <si>
    <t>EMP0246</t>
  </si>
  <si>
    <t>EMP0247</t>
  </si>
  <si>
    <t>Arjun Krishnan</t>
  </si>
  <si>
    <t>EMP0248</t>
  </si>
  <si>
    <t>Sanjay Singh</t>
  </si>
  <si>
    <t>EMP0249</t>
  </si>
  <si>
    <t>Aditya Krishnan</t>
  </si>
  <si>
    <t>EMP0250</t>
  </si>
  <si>
    <t>Anil Gupta</t>
  </si>
  <si>
    <t>EMP0251</t>
  </si>
  <si>
    <t>Pooja Das</t>
  </si>
  <si>
    <t>EMP0252</t>
  </si>
  <si>
    <t>EMP0253</t>
  </si>
  <si>
    <t>Rohan Patel</t>
  </si>
  <si>
    <t>EMP0254</t>
  </si>
  <si>
    <t>EMP0255</t>
  </si>
  <si>
    <t>Aarav Kannan</t>
  </si>
  <si>
    <t>EMP0256</t>
  </si>
  <si>
    <t>EMP0257</t>
  </si>
  <si>
    <t>EMP0258</t>
  </si>
  <si>
    <t>Aarav Joshi</t>
  </si>
  <si>
    <t>EMP0259</t>
  </si>
  <si>
    <t>EMP0260</t>
  </si>
  <si>
    <t>EMP0261</t>
  </si>
  <si>
    <t>EMP0262</t>
  </si>
  <si>
    <t>Naveen Kannan</t>
  </si>
  <si>
    <t>EMP0263</t>
  </si>
  <si>
    <t>EMP0264</t>
  </si>
  <si>
    <t>EMP0265</t>
  </si>
  <si>
    <t>Keerthi Sharma</t>
  </si>
  <si>
    <t>EMP0266</t>
  </si>
  <si>
    <t>Arjun Sharma</t>
  </si>
  <si>
    <t>EMP0267</t>
  </si>
  <si>
    <t>Manoj Krishnan</t>
  </si>
  <si>
    <t>EMP0268</t>
  </si>
  <si>
    <t>Aditya Joshi</t>
  </si>
  <si>
    <t>EMP0269</t>
  </si>
  <si>
    <t>Kiran  Singh</t>
  </si>
  <si>
    <t>EMP0270</t>
  </si>
  <si>
    <t>Pooja Patel</t>
  </si>
  <si>
    <t>EMP0271</t>
  </si>
  <si>
    <t>Ishita Kannan</t>
  </si>
  <si>
    <t>EMP0272</t>
  </si>
  <si>
    <t>EMP0273</t>
  </si>
  <si>
    <t>Lakshmi Menon</t>
  </si>
  <si>
    <t>EMP0274</t>
  </si>
  <si>
    <t>Manoj Reddy</t>
  </si>
  <si>
    <t>EMP0275</t>
  </si>
  <si>
    <t>Aditya Nair</t>
  </si>
  <si>
    <t>EMP0276</t>
  </si>
  <si>
    <t>EMP0277</t>
  </si>
  <si>
    <t>EMP0278</t>
  </si>
  <si>
    <t>Sanjay Bose</t>
  </si>
  <si>
    <t>EMP0279</t>
  </si>
  <si>
    <t>EMP0280</t>
  </si>
  <si>
    <t>EMP0281</t>
  </si>
  <si>
    <t>EMP0282</t>
  </si>
  <si>
    <t>EMP0283</t>
  </si>
  <si>
    <t>EMP0284</t>
  </si>
  <si>
    <t>EMP0285</t>
  </si>
  <si>
    <t>EMP0286</t>
  </si>
  <si>
    <t>Nisha Patel</t>
  </si>
  <si>
    <t>EMP0287</t>
  </si>
  <si>
    <t>EMP0288</t>
  </si>
  <si>
    <t>Neha Bose</t>
  </si>
  <si>
    <t>EMP0289</t>
  </si>
  <si>
    <t>EMP0290</t>
  </si>
  <si>
    <t>EMP0291</t>
  </si>
  <si>
    <t>EMP0292</t>
  </si>
  <si>
    <t>EMP0293</t>
  </si>
  <si>
    <t>Priya Menon</t>
  </si>
  <si>
    <t>EMP0294</t>
  </si>
  <si>
    <t>Nisha Nair</t>
  </si>
  <si>
    <t>EMP0295</t>
  </si>
  <si>
    <t>Kiran Gupta</t>
  </si>
  <si>
    <t>EMP0296</t>
  </si>
  <si>
    <t>EMP0297</t>
  </si>
  <si>
    <t>EMP0298</t>
  </si>
  <si>
    <t>EMP0299</t>
  </si>
  <si>
    <t>Aisha Reddy</t>
  </si>
  <si>
    <t>EMP0300</t>
  </si>
  <si>
    <t>EMP0301</t>
  </si>
  <si>
    <t>EMP0302</t>
  </si>
  <si>
    <t>Kavya Singh</t>
  </si>
  <si>
    <t>EMP0303</t>
  </si>
  <si>
    <t>EMP0304</t>
  </si>
  <si>
    <t>EMP0305</t>
  </si>
  <si>
    <t>EMP0306</t>
  </si>
  <si>
    <t>Suresh Nair</t>
  </si>
  <si>
    <t>EMP0307</t>
  </si>
  <si>
    <t>EMP0308</t>
  </si>
  <si>
    <t>Rohan Das</t>
  </si>
  <si>
    <t>EMP0309</t>
  </si>
  <si>
    <t>Aditya Verma</t>
  </si>
  <si>
    <t>EMP0310</t>
  </si>
  <si>
    <t>EMP0311</t>
  </si>
  <si>
    <t>Sana Kannan</t>
  </si>
  <si>
    <t>EMP0312</t>
  </si>
  <si>
    <t>EMP0313</t>
  </si>
  <si>
    <t>EMP0314</t>
  </si>
  <si>
    <t>Rohan Iyer</t>
  </si>
  <si>
    <t>EMP0315</t>
  </si>
  <si>
    <t>EMP0316</t>
  </si>
  <si>
    <t>Aisha Joshi</t>
  </si>
  <si>
    <t>EMP0317</t>
  </si>
  <si>
    <t>EMP0318</t>
  </si>
  <si>
    <t>Sanjay Rao</t>
  </si>
  <si>
    <t>EMP0319</t>
  </si>
  <si>
    <t>EMP0320</t>
  </si>
  <si>
    <t>EMP0321</t>
  </si>
  <si>
    <t>EMP0322</t>
  </si>
  <si>
    <t>EMP0323</t>
  </si>
  <si>
    <t>EMP0324</t>
  </si>
  <si>
    <t>EMP0325</t>
  </si>
  <si>
    <t>Naveen Singh</t>
  </si>
  <si>
    <t>EMP0326</t>
  </si>
  <si>
    <t>EMP0327</t>
  </si>
  <si>
    <t>Ananya Singh</t>
  </si>
  <si>
    <t>EMP0328</t>
  </si>
  <si>
    <t>Arjun Reddy</t>
  </si>
  <si>
    <t>EMP0329</t>
  </si>
  <si>
    <t>EMP0330</t>
  </si>
  <si>
    <t>Anil Bose</t>
  </si>
  <si>
    <t>EMP0331</t>
  </si>
  <si>
    <t>EMP0332</t>
  </si>
  <si>
    <t>Sanjay Kannan</t>
  </si>
  <si>
    <t>EMP0333</t>
  </si>
  <si>
    <t>Rahul Shah</t>
  </si>
  <si>
    <t>EMP0334</t>
  </si>
  <si>
    <t>EMP0335</t>
  </si>
  <si>
    <t>EMP0336</t>
  </si>
  <si>
    <t>Naveen  Krishnan</t>
  </si>
  <si>
    <t>EMP0337</t>
  </si>
  <si>
    <t>Divya Verma</t>
  </si>
  <si>
    <t>EMP0338</t>
  </si>
  <si>
    <t>EMP0339</t>
  </si>
  <si>
    <t>EMP0340</t>
  </si>
  <si>
    <t>Divya Joshi</t>
  </si>
  <si>
    <t>EMP0341</t>
  </si>
  <si>
    <t>EMP0342</t>
  </si>
  <si>
    <t>EMP0343</t>
  </si>
  <si>
    <t>EMP0344</t>
  </si>
  <si>
    <t>Priya Gupta</t>
  </si>
  <si>
    <t>EMP0345</t>
  </si>
  <si>
    <t>Pooja Shah</t>
  </si>
  <si>
    <t>EMP0346</t>
  </si>
  <si>
    <t>EMP0347</t>
  </si>
  <si>
    <t>EMP0348</t>
  </si>
  <si>
    <t>EMP0349</t>
  </si>
  <si>
    <t>Naveen Jain</t>
  </si>
  <si>
    <t>EMP0350</t>
  </si>
  <si>
    <t>Arjun Das</t>
  </si>
  <si>
    <t>EMP0351</t>
  </si>
  <si>
    <t>Rohan Sharma</t>
  </si>
  <si>
    <t>EMP0352</t>
  </si>
  <si>
    <t>EMP0353</t>
  </si>
  <si>
    <t>EMP0354</t>
  </si>
  <si>
    <t>Lakshmi Jain</t>
  </si>
  <si>
    <t>EMP0355</t>
  </si>
  <si>
    <t>Vikram Nair</t>
  </si>
  <si>
    <t>EMP0356</t>
  </si>
  <si>
    <t>EMP0357</t>
  </si>
  <si>
    <t>Rahul Joshi</t>
  </si>
  <si>
    <t>EMP0358</t>
  </si>
  <si>
    <t>Priya Jain</t>
  </si>
  <si>
    <t>EMP0359</t>
  </si>
  <si>
    <t>Priya Das</t>
  </si>
  <si>
    <t>EMP0360</t>
  </si>
  <si>
    <t>EMP0361</t>
  </si>
  <si>
    <t>Aisha Jain</t>
  </si>
  <si>
    <t>EMP0362</t>
  </si>
  <si>
    <t>Naveen Menon</t>
  </si>
  <si>
    <t>EMP0363</t>
  </si>
  <si>
    <t>EMP0364</t>
  </si>
  <si>
    <t>EMP0365</t>
  </si>
  <si>
    <t>EMP0366</t>
  </si>
  <si>
    <t>Aarav Reddy</t>
  </si>
  <si>
    <t>EMP0367</t>
  </si>
  <si>
    <t>EMP0368</t>
  </si>
  <si>
    <t>Aditya Reddy</t>
  </si>
  <si>
    <t>EMP0369</t>
  </si>
  <si>
    <t>Arjun Singh</t>
  </si>
  <si>
    <t>EMP0370</t>
  </si>
  <si>
    <t>Ananya Reddy</t>
  </si>
  <si>
    <t>EMP0371</t>
  </si>
  <si>
    <t>EMP0372</t>
  </si>
  <si>
    <t>EMP0373</t>
  </si>
  <si>
    <t>Arjun Bose</t>
  </si>
  <si>
    <t>EMP0374</t>
  </si>
  <si>
    <t>Ananya Kannan</t>
  </si>
  <si>
    <t>EMP0375</t>
  </si>
  <si>
    <t>EMP0376</t>
  </si>
  <si>
    <t>EMP0377</t>
  </si>
  <si>
    <t>Nisha Joshi</t>
  </si>
  <si>
    <t>EMP0378</t>
  </si>
  <si>
    <t>Ishita Nair</t>
  </si>
  <si>
    <t>EMP0379</t>
  </si>
  <si>
    <t>Anil Krishnan</t>
  </si>
  <si>
    <t>EMP0380</t>
  </si>
  <si>
    <t>EMP0381</t>
  </si>
  <si>
    <t>Kiran Kumar</t>
  </si>
  <si>
    <t>EMP0382</t>
  </si>
  <si>
    <t>EMP0383</t>
  </si>
  <si>
    <t>Rahul Verma</t>
  </si>
  <si>
    <t>EMP0384</t>
  </si>
  <si>
    <t>Aarav Menon</t>
  </si>
  <si>
    <t>EMP0385</t>
  </si>
  <si>
    <t>EMP0386</t>
  </si>
  <si>
    <t>EMP0387</t>
  </si>
  <si>
    <t>Kiran Menon</t>
  </si>
  <si>
    <t>EMP0388</t>
  </si>
  <si>
    <t>Keerthi Jain</t>
  </si>
  <si>
    <t>EMP0389</t>
  </si>
  <si>
    <t>Pooja Gupta</t>
  </si>
  <si>
    <t>EMP0390</t>
  </si>
  <si>
    <t>EMP0391</t>
  </si>
  <si>
    <t>EMP0392</t>
  </si>
  <si>
    <t>Lakshmi Krishnan</t>
  </si>
  <si>
    <t>EMP0393</t>
  </si>
  <si>
    <t>Aditya Kumar</t>
  </si>
  <si>
    <t>EMP0394</t>
  </si>
  <si>
    <t>EMP0395</t>
  </si>
  <si>
    <t>EMP0396</t>
  </si>
  <si>
    <t>Nisha Bose</t>
  </si>
  <si>
    <t>EMP0397</t>
  </si>
  <si>
    <t>Keerthi Singh</t>
  </si>
  <si>
    <t>EMP0398</t>
  </si>
  <si>
    <t>Vikram Jain</t>
  </si>
  <si>
    <t>EMP0399</t>
  </si>
  <si>
    <t>Divya Rao</t>
  </si>
  <si>
    <t>EMP0400</t>
  </si>
  <si>
    <t>EMP0401</t>
  </si>
  <si>
    <t>EMP0402</t>
  </si>
  <si>
    <t>Sana Menon</t>
  </si>
  <si>
    <t>EMP0403</t>
  </si>
  <si>
    <t>Priya  Menon</t>
  </si>
  <si>
    <t>EMP0404</t>
  </si>
  <si>
    <t>EMP0405</t>
  </si>
  <si>
    <t>Ishita Jain</t>
  </si>
  <si>
    <t>EMP0406</t>
  </si>
  <si>
    <t>EMP0407</t>
  </si>
  <si>
    <t>EMP0408</t>
  </si>
  <si>
    <t>Ananya Bose</t>
  </si>
  <si>
    <t>EMP0409</t>
  </si>
  <si>
    <t>EMP0410</t>
  </si>
  <si>
    <t>Sana Shah</t>
  </si>
  <si>
    <t>EMP0411</t>
  </si>
  <si>
    <t>EMP0412</t>
  </si>
  <si>
    <t>EMP0413</t>
  </si>
  <si>
    <t>EMP0414</t>
  </si>
  <si>
    <t>EMP0415</t>
  </si>
  <si>
    <t>EMP0416</t>
  </si>
  <si>
    <t>Ishita Shah</t>
  </si>
  <si>
    <t>EMP0417</t>
  </si>
  <si>
    <t>EMP0418</t>
  </si>
  <si>
    <t>EMP0419</t>
  </si>
  <si>
    <t>Naveen Kumar</t>
  </si>
  <si>
    <t>EMP0420</t>
  </si>
  <si>
    <t>Sanjay Das</t>
  </si>
  <si>
    <t>EMP0421</t>
  </si>
  <si>
    <t>Divya Das</t>
  </si>
  <si>
    <t>EMP0422</t>
  </si>
  <si>
    <t>EMP0423</t>
  </si>
  <si>
    <t>EMP0424</t>
  </si>
  <si>
    <t>Aisha Singh</t>
  </si>
  <si>
    <t>EMP0425</t>
  </si>
  <si>
    <t>EMP0426</t>
  </si>
  <si>
    <t>Aarav Gupta</t>
  </si>
  <si>
    <t>EMP0427</t>
  </si>
  <si>
    <t>Keerthi Reddy</t>
  </si>
  <si>
    <t>EMP0428</t>
  </si>
  <si>
    <t>Neha Kannan</t>
  </si>
  <si>
    <t>EMP0429</t>
  </si>
  <si>
    <t>Meera Reddy</t>
  </si>
  <si>
    <t>EMP0430</t>
  </si>
  <si>
    <t>EMP0431</t>
  </si>
  <si>
    <t>Aditya Gupta</t>
  </si>
  <si>
    <t>EMP0432</t>
  </si>
  <si>
    <t>Suresh Jain</t>
  </si>
  <si>
    <t>EMP0433</t>
  </si>
  <si>
    <t>Divya Nair</t>
  </si>
  <si>
    <t>EMP0434</t>
  </si>
  <si>
    <t>Rohan Verma</t>
  </si>
  <si>
    <t>EMP0435</t>
  </si>
  <si>
    <t>Sanjay Krishnan</t>
  </si>
  <si>
    <t>EMP0436</t>
  </si>
  <si>
    <t>Aisha Verma</t>
  </si>
  <si>
    <t>EMP0437</t>
  </si>
  <si>
    <t>Priya Bose</t>
  </si>
  <si>
    <t>EMP0438</t>
  </si>
  <si>
    <t>EMP0439</t>
  </si>
  <si>
    <t>EMP0440</t>
  </si>
  <si>
    <t>EMP0441</t>
  </si>
  <si>
    <t>EMP0442</t>
  </si>
  <si>
    <t>EMP0443</t>
  </si>
  <si>
    <t>EMP0444</t>
  </si>
  <si>
    <t>EMP0445</t>
  </si>
  <si>
    <t>EMP0446</t>
  </si>
  <si>
    <t>Anil Singh</t>
  </si>
  <si>
    <t>EMP0447</t>
  </si>
  <si>
    <t>EMP0448</t>
  </si>
  <si>
    <t>EMP0449</t>
  </si>
  <si>
    <t>EMP0450</t>
  </si>
  <si>
    <t>Kiran Jain</t>
  </si>
  <si>
    <t>EMP0451</t>
  </si>
  <si>
    <t>EMP0452</t>
  </si>
  <si>
    <t>EMP0453</t>
  </si>
  <si>
    <t>Sana Nair</t>
  </si>
  <si>
    <t>EMP0454</t>
  </si>
  <si>
    <t>Rahul Reddy</t>
  </si>
  <si>
    <t>EMP0455</t>
  </si>
  <si>
    <t>EMP0456</t>
  </si>
  <si>
    <t>EMP0457</t>
  </si>
  <si>
    <t>EMP0458</t>
  </si>
  <si>
    <t>EMP0459</t>
  </si>
  <si>
    <t>EMP0460</t>
  </si>
  <si>
    <t>EMP0461</t>
  </si>
  <si>
    <t>EMP0462</t>
  </si>
  <si>
    <t>EMP0463</t>
  </si>
  <si>
    <t>EMP0464</t>
  </si>
  <si>
    <t>Vikram Menon</t>
  </si>
  <si>
    <t>EMP0465</t>
  </si>
  <si>
    <t>Priya Krishnan</t>
  </si>
  <si>
    <t>EMP0466</t>
  </si>
  <si>
    <t>EMP0467</t>
  </si>
  <si>
    <t>Aditya Iyer</t>
  </si>
  <si>
    <t>EMP0468</t>
  </si>
  <si>
    <t>Lakshmi Sharma</t>
  </si>
  <si>
    <t>EMP0469</t>
  </si>
  <si>
    <t>EMP0470</t>
  </si>
  <si>
    <t>Aisha  Reddy</t>
  </si>
  <si>
    <t>EMP0471</t>
  </si>
  <si>
    <t>EMP0472</t>
  </si>
  <si>
    <t>EMP0473</t>
  </si>
  <si>
    <t>Aisha Nair</t>
  </si>
  <si>
    <t>EMP0474</t>
  </si>
  <si>
    <t>Ananya Iyer</t>
  </si>
  <si>
    <t>EMP0475</t>
  </si>
  <si>
    <t>EMP0476</t>
  </si>
  <si>
    <t>EMP0477</t>
  </si>
  <si>
    <t>EMP0478</t>
  </si>
  <si>
    <t>EMP0479</t>
  </si>
  <si>
    <t>Ananya Patel</t>
  </si>
  <si>
    <t>EMP0480</t>
  </si>
  <si>
    <t>Kavya Krishnan</t>
  </si>
  <si>
    <t>EMP0481</t>
  </si>
  <si>
    <t>Neha Patel</t>
  </si>
  <si>
    <t>EMP0482</t>
  </si>
  <si>
    <t>EMP0483</t>
  </si>
  <si>
    <t>EMP0484</t>
  </si>
  <si>
    <t>EMP0485</t>
  </si>
  <si>
    <t>Aisha Shah</t>
  </si>
  <si>
    <t>EMP0486</t>
  </si>
  <si>
    <t>EMP0487</t>
  </si>
  <si>
    <t>Divya Reddy</t>
  </si>
  <si>
    <t>EMP0488</t>
  </si>
  <si>
    <t>Aditya Patel</t>
  </si>
  <si>
    <t>EMP0489</t>
  </si>
  <si>
    <t>EMP0490</t>
  </si>
  <si>
    <t>EMP0491</t>
  </si>
  <si>
    <t>Neha Das</t>
  </si>
  <si>
    <t>EMP0492</t>
  </si>
  <si>
    <t>EMP0493</t>
  </si>
  <si>
    <t>EMP0494</t>
  </si>
  <si>
    <t>EMP0495</t>
  </si>
  <si>
    <t>EMP0496</t>
  </si>
  <si>
    <t>EMP0497</t>
  </si>
  <si>
    <t>EMP0498</t>
  </si>
  <si>
    <t>EMP0499</t>
  </si>
  <si>
    <t>Priya Shah</t>
  </si>
  <si>
    <t>EMP0500</t>
  </si>
  <si>
    <t>EMP0501</t>
  </si>
  <si>
    <t>EMP0502</t>
  </si>
  <si>
    <t>EMP0503</t>
  </si>
  <si>
    <t>Neha Reddy</t>
  </si>
  <si>
    <t>EMP0504</t>
  </si>
  <si>
    <t>EMP0505</t>
  </si>
  <si>
    <t>EMP0506</t>
  </si>
  <si>
    <t>EMP0507</t>
  </si>
  <si>
    <t>EMP0508</t>
  </si>
  <si>
    <t>Ishita Bose</t>
  </si>
  <si>
    <t>EMP0509</t>
  </si>
  <si>
    <t>EMP0510</t>
  </si>
  <si>
    <t>EMP0511</t>
  </si>
  <si>
    <t>EMP0512</t>
  </si>
  <si>
    <t>Ishita Menon</t>
  </si>
  <si>
    <t>EMP0513</t>
  </si>
  <si>
    <t>Nisha Sharma</t>
  </si>
  <si>
    <t>EMP0514</t>
  </si>
  <si>
    <t>EMP0515</t>
  </si>
  <si>
    <t>Meera Joshi</t>
  </si>
  <si>
    <t>EMP0516</t>
  </si>
  <si>
    <t>EMP0517</t>
  </si>
  <si>
    <t>EMP0518</t>
  </si>
  <si>
    <t>EMP0519</t>
  </si>
  <si>
    <t>Aarav Kumar</t>
  </si>
  <si>
    <t>EMP0520</t>
  </si>
  <si>
    <t>EMP0521</t>
  </si>
  <si>
    <t>EMP0522</t>
  </si>
  <si>
    <t>EMP0523</t>
  </si>
  <si>
    <t>EMP0524</t>
  </si>
  <si>
    <t>EMP0525</t>
  </si>
  <si>
    <t>Sanjay Nair</t>
  </si>
  <si>
    <t>EMP0526</t>
  </si>
  <si>
    <t>Suresh Menon</t>
  </si>
  <si>
    <t>EMP0527</t>
  </si>
  <si>
    <t>EMP0528</t>
  </si>
  <si>
    <t>EMP0529</t>
  </si>
  <si>
    <t>Keerthi Kannan</t>
  </si>
  <si>
    <t>EMP0530</t>
  </si>
  <si>
    <t>EMP0531</t>
  </si>
  <si>
    <t>Sanjay Shah</t>
  </si>
  <si>
    <t>EMP0532</t>
  </si>
  <si>
    <t>EMP0533</t>
  </si>
  <si>
    <t>EMP0534</t>
  </si>
  <si>
    <t>EMP0535</t>
  </si>
  <si>
    <t>EMP0536</t>
  </si>
  <si>
    <t>Sanjay Patel</t>
  </si>
  <si>
    <t>EMP0537</t>
  </si>
  <si>
    <t>Arjun  Rao</t>
  </si>
  <si>
    <t>EMP0538</t>
  </si>
  <si>
    <t>EMP0539</t>
  </si>
  <si>
    <t>EMP0540</t>
  </si>
  <si>
    <t>EMP0541</t>
  </si>
  <si>
    <t>Naveen Verma</t>
  </si>
  <si>
    <t>EMP0542</t>
  </si>
  <si>
    <t>EMP0543</t>
  </si>
  <si>
    <t>EMP0544</t>
  </si>
  <si>
    <t>EMP0545</t>
  </si>
  <si>
    <t>Aditya Sharma</t>
  </si>
  <si>
    <t>EMP0546</t>
  </si>
  <si>
    <t>Lakshmi Rao</t>
  </si>
  <si>
    <t>EMP0547</t>
  </si>
  <si>
    <t>EMP0548</t>
  </si>
  <si>
    <t>EMP0549</t>
  </si>
  <si>
    <t>Kiran Iyer</t>
  </si>
  <si>
    <t>EMP0550</t>
  </si>
  <si>
    <t>Divya Sharma</t>
  </si>
  <si>
    <t>EMP0551</t>
  </si>
  <si>
    <t>Priya Rao</t>
  </si>
  <si>
    <t>EMP0552</t>
  </si>
  <si>
    <t>EMP0553</t>
  </si>
  <si>
    <t>EMP0554</t>
  </si>
  <si>
    <t>EMP0555</t>
  </si>
  <si>
    <t>EMP0556</t>
  </si>
  <si>
    <t>EMP0557</t>
  </si>
  <si>
    <t>EMP0558</t>
  </si>
  <si>
    <t>EMP0559</t>
  </si>
  <si>
    <t>EMP0560</t>
  </si>
  <si>
    <t>Manoj Bose</t>
  </si>
  <si>
    <t>EMP0561</t>
  </si>
  <si>
    <t>EMP0562</t>
  </si>
  <si>
    <t>EMP0563</t>
  </si>
  <si>
    <t>Sanjay Iyer</t>
  </si>
  <si>
    <t>EMP0564</t>
  </si>
  <si>
    <t>EMP0565</t>
  </si>
  <si>
    <t>EMP0566</t>
  </si>
  <si>
    <t>EMP0567</t>
  </si>
  <si>
    <t>EMP0568</t>
  </si>
  <si>
    <t>EMP0569</t>
  </si>
  <si>
    <t>EMP0570</t>
  </si>
  <si>
    <t>EMP0571</t>
  </si>
  <si>
    <t>EMP0572</t>
  </si>
  <si>
    <t>EMP0573</t>
  </si>
  <si>
    <t>EMP0574</t>
  </si>
  <si>
    <t>Sana Bose</t>
  </si>
  <si>
    <t>EMP0575</t>
  </si>
  <si>
    <t>EMP0576</t>
  </si>
  <si>
    <t>EMP0577</t>
  </si>
  <si>
    <t>EMP0578</t>
  </si>
  <si>
    <t>Arjun Iyer</t>
  </si>
  <si>
    <t>EMP0579</t>
  </si>
  <si>
    <t>EMP0580</t>
  </si>
  <si>
    <t>EMP0581</t>
  </si>
  <si>
    <t>EMP0582</t>
  </si>
  <si>
    <t>Arjun Gupta</t>
  </si>
  <si>
    <t>EMP0583</t>
  </si>
  <si>
    <t>Lakshmi Das</t>
  </si>
  <si>
    <t>EMP0584</t>
  </si>
  <si>
    <t>EMP0585</t>
  </si>
  <si>
    <t>EMP0586</t>
  </si>
  <si>
    <t>EMP0587</t>
  </si>
  <si>
    <t>EMP0588</t>
  </si>
  <si>
    <t>EMP0589</t>
  </si>
  <si>
    <t>EMP0590</t>
  </si>
  <si>
    <t>EMP0591</t>
  </si>
  <si>
    <t>EMP0592</t>
  </si>
  <si>
    <t>EMP0593</t>
  </si>
  <si>
    <t>EMP0594</t>
  </si>
  <si>
    <t>EMP0595</t>
  </si>
  <si>
    <t>Suresh Krishnan</t>
  </si>
  <si>
    <t>EMP0596</t>
  </si>
  <si>
    <t>EMP0597</t>
  </si>
  <si>
    <t>EMP0598</t>
  </si>
  <si>
    <t>EMP0599</t>
  </si>
  <si>
    <t>Meera Rao</t>
  </si>
  <si>
    <t>EMP0600</t>
  </si>
  <si>
    <t>EMP0601</t>
  </si>
  <si>
    <t>Pooja Rao</t>
  </si>
  <si>
    <t>EMP0602</t>
  </si>
  <si>
    <t>Sanjay Kumar</t>
  </si>
  <si>
    <t>EMP0603</t>
  </si>
  <si>
    <t>Rahul Patel</t>
  </si>
  <si>
    <t>EMP0604</t>
  </si>
  <si>
    <t>Anil  Reddy</t>
  </si>
  <si>
    <t>EMP0605</t>
  </si>
  <si>
    <t>EMP0606</t>
  </si>
  <si>
    <t>EMP0607</t>
  </si>
  <si>
    <t>Aditya Rao</t>
  </si>
  <si>
    <t>EMP0608</t>
  </si>
  <si>
    <t>EMP0609</t>
  </si>
  <si>
    <t>Rohan Jain</t>
  </si>
  <si>
    <t>EMP0610</t>
  </si>
  <si>
    <t>Naveen Patel</t>
  </si>
  <si>
    <t>EMP0611</t>
  </si>
  <si>
    <t>EMP0612</t>
  </si>
  <si>
    <t>EMP0613</t>
  </si>
  <si>
    <t>Kiran Kannan</t>
  </si>
  <si>
    <t>EMP0614</t>
  </si>
  <si>
    <t>EMP0615</t>
  </si>
  <si>
    <t>Nisha Jain</t>
  </si>
  <si>
    <t>EMP0616</t>
  </si>
  <si>
    <t>Arjun Jain</t>
  </si>
  <si>
    <t>EMP0617</t>
  </si>
  <si>
    <t>EMP0618</t>
  </si>
  <si>
    <t>Rohan Reddy</t>
  </si>
  <si>
    <t>EMP0619</t>
  </si>
  <si>
    <t>Lakshmi Bose</t>
  </si>
  <si>
    <t>EMP0620</t>
  </si>
  <si>
    <t>EMP0621</t>
  </si>
  <si>
    <t>EMP0622</t>
  </si>
  <si>
    <t>EMP0623</t>
  </si>
  <si>
    <t>Naveen Nair</t>
  </si>
  <si>
    <t>EMP0624</t>
  </si>
  <si>
    <t>EMP0625</t>
  </si>
  <si>
    <t>Aisha Bose</t>
  </si>
  <si>
    <t>EMP0626</t>
  </si>
  <si>
    <t>EMP0627</t>
  </si>
  <si>
    <t>Lakshmi Reddy</t>
  </si>
  <si>
    <t>EMP0628</t>
  </si>
  <si>
    <t>EMP0629</t>
  </si>
  <si>
    <t>Meera Bose</t>
  </si>
  <si>
    <t>EMP0630</t>
  </si>
  <si>
    <t>Rahul Krishnan</t>
  </si>
  <si>
    <t>EMP0631</t>
  </si>
  <si>
    <t>EMP0632</t>
  </si>
  <si>
    <t>EMP0633</t>
  </si>
  <si>
    <t>EMP0634</t>
  </si>
  <si>
    <t>EMP0635</t>
  </si>
  <si>
    <t>EMP0636</t>
  </si>
  <si>
    <t>Arjun Joshi</t>
  </si>
  <si>
    <t>EMP0637</t>
  </si>
  <si>
    <t>EMP0638</t>
  </si>
  <si>
    <t>EMP0639</t>
  </si>
  <si>
    <t>EMP0640</t>
  </si>
  <si>
    <t>EMP0641</t>
  </si>
  <si>
    <t>EMP0642</t>
  </si>
  <si>
    <t>Manoj Kannan</t>
  </si>
  <si>
    <t>EMP0643</t>
  </si>
  <si>
    <t>Rahul Sharma</t>
  </si>
  <si>
    <t>EMP0644</t>
  </si>
  <si>
    <t>EMP0645</t>
  </si>
  <si>
    <t>EMP0646</t>
  </si>
  <si>
    <t>EMP0647</t>
  </si>
  <si>
    <t>EMP0648</t>
  </si>
  <si>
    <t>EMP0649</t>
  </si>
  <si>
    <t>EMP0650</t>
  </si>
  <si>
    <t>EMP0651</t>
  </si>
  <si>
    <t>Aarav Patel</t>
  </si>
  <si>
    <t>EMP0652</t>
  </si>
  <si>
    <t>EMP0653</t>
  </si>
  <si>
    <t>Divya Singh</t>
  </si>
  <si>
    <t>EMP0654</t>
  </si>
  <si>
    <t>Aisha Sharma</t>
  </si>
  <si>
    <t>EMP0655</t>
  </si>
  <si>
    <t>EMP0656</t>
  </si>
  <si>
    <t>EMP0657</t>
  </si>
  <si>
    <t>EMP0658</t>
  </si>
  <si>
    <t>EMP0659</t>
  </si>
  <si>
    <t>EMP0660</t>
  </si>
  <si>
    <t>EMP0661</t>
  </si>
  <si>
    <t>EMP0662</t>
  </si>
  <si>
    <t>EMP0663</t>
  </si>
  <si>
    <t>Keerthi Joshi</t>
  </si>
  <si>
    <t>EMP0664</t>
  </si>
  <si>
    <t>EMP0665</t>
  </si>
  <si>
    <t>EMP0666</t>
  </si>
  <si>
    <t>EMP0667</t>
  </si>
  <si>
    <t>EMP0668</t>
  </si>
  <si>
    <t>EMP0669</t>
  </si>
  <si>
    <t>EMP0670</t>
  </si>
  <si>
    <t>EMP0671</t>
  </si>
  <si>
    <t>Lakshmi  Rao</t>
  </si>
  <si>
    <t>EMP0672</t>
  </si>
  <si>
    <t>Kavya Bose</t>
  </si>
  <si>
    <t>EMP0673</t>
  </si>
  <si>
    <t>Sana Rao</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</si>
  <si>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</si>
  <si>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</si>
  <si>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</si>
  <si>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</si>
  <si>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</si>
  <si>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</si>
  <si>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</si>
  <si>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</si>
  <si>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</si>
  <si>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</si>
  <si>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</si>
  <si>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</si>
  <si>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</si>
  <si>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</si>
  <si>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</si>
  <si>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</si>
  <si>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</si>
  <si>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</si>
  <si>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</si>
  <si>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Aisha Gupta</t>
  </si>
  <si>
    <t>EMP0693</t>
  </si>
  <si>
    <t>EMP0694</t>
  </si>
  <si>
    <t>Manoj Jain</t>
  </si>
  <si>
    <t>EMP0695</t>
  </si>
  <si>
    <t>EMP0696</t>
  </si>
  <si>
    <t>EMP0697</t>
  </si>
  <si>
    <t>EMP0698</t>
  </si>
  <si>
    <t>EMP0699</t>
  </si>
  <si>
    <t>EMP0700</t>
  </si>
  <si>
    <t>Rohan Joshi</t>
  </si>
  <si>
    <t>EMP0701</t>
  </si>
  <si>
    <t>EMP0702</t>
  </si>
  <si>
    <t>EMP0703</t>
  </si>
  <si>
    <t>EMP0704</t>
  </si>
  <si>
    <t>Kiran Bose</t>
  </si>
  <si>
    <t>EMP0705</t>
  </si>
  <si>
    <t>EMP0706</t>
  </si>
  <si>
    <t>Kavya Gupta</t>
  </si>
  <si>
    <t>EMP0707</t>
  </si>
  <si>
    <t>Aisha Patel</t>
  </si>
  <si>
    <t>EMP0708</t>
  </si>
  <si>
    <t>Meera Iyer</t>
  </si>
  <si>
    <t>EMP0709</t>
  </si>
  <si>
    <t>EMP0710</t>
  </si>
  <si>
    <t>EMP0711</t>
  </si>
  <si>
    <t>Keerthi Patel</t>
  </si>
  <si>
    <t>EMP0712</t>
  </si>
  <si>
    <t>EMP0713</t>
  </si>
  <si>
    <t>EMP0714</t>
  </si>
  <si>
    <t>Manoj Joshi</t>
  </si>
  <si>
    <t>EMP0715</t>
  </si>
  <si>
    <t>EMP0716</t>
  </si>
  <si>
    <t>Sana Sharma</t>
  </si>
  <si>
    <t>EMP0717</t>
  </si>
  <si>
    <t>EMP0718</t>
  </si>
  <si>
    <t>EMP0719</t>
  </si>
  <si>
    <t>Arjun Patel</t>
  </si>
  <si>
    <t>EMP0720</t>
  </si>
  <si>
    <t>EMP0721</t>
  </si>
  <si>
    <t>EMP0722</t>
  </si>
  <si>
    <t>EMP0723</t>
  </si>
  <si>
    <t>EMP0724</t>
  </si>
  <si>
    <t>EMP0725</t>
  </si>
  <si>
    <t>EMP0726</t>
  </si>
  <si>
    <t>EMP0727</t>
  </si>
  <si>
    <t>Kavya Kumar</t>
  </si>
  <si>
    <t>EMP0728</t>
  </si>
  <si>
    <t>Ishita Krishnan</t>
  </si>
  <si>
    <t>EMP0729</t>
  </si>
  <si>
    <t>Meera Kumar</t>
  </si>
  <si>
    <t>EMP0730</t>
  </si>
  <si>
    <t>EMP0731</t>
  </si>
  <si>
    <t>EMP0732</t>
  </si>
  <si>
    <t>EMP0733</t>
  </si>
  <si>
    <t>EMP0734</t>
  </si>
  <si>
    <t>EMP0735</t>
  </si>
  <si>
    <t>EMP0736</t>
  </si>
  <si>
    <t>EMP0737</t>
  </si>
  <si>
    <t>EMP0738</t>
  </si>
  <si>
    <t>Priya  Rao</t>
  </si>
  <si>
    <t>EMP0739</t>
  </si>
  <si>
    <t>EMP0740</t>
  </si>
  <si>
    <t>EMP0741</t>
  </si>
  <si>
    <t>EMP0742</t>
  </si>
  <si>
    <t>EMP0743</t>
  </si>
  <si>
    <t>Lakshmi Nair</t>
  </si>
  <si>
    <t>EMP0744</t>
  </si>
  <si>
    <t>EMP0745</t>
  </si>
  <si>
    <t>EMP0746</t>
  </si>
  <si>
    <t>EMP0747</t>
  </si>
  <si>
    <t>EMP0748</t>
  </si>
  <si>
    <t>EMP0749</t>
  </si>
  <si>
    <t>Naveen Das</t>
  </si>
  <si>
    <t>EMP0750</t>
  </si>
  <si>
    <t>EMP0751</t>
  </si>
  <si>
    <t>EMP0752</t>
  </si>
  <si>
    <t>Aarav Singh</t>
  </si>
  <si>
    <t>EMP0753</t>
  </si>
  <si>
    <t>EMP0754</t>
  </si>
  <si>
    <t>Arjun Verma</t>
  </si>
  <si>
    <t>EMP0755</t>
  </si>
  <si>
    <t>EMP0756</t>
  </si>
  <si>
    <t>EMP0757</t>
  </si>
  <si>
    <t>EMP0758</t>
  </si>
  <si>
    <t>EMP0759</t>
  </si>
  <si>
    <t>EMP0760</t>
  </si>
  <si>
    <t>Aarav Rao</t>
  </si>
  <si>
    <t>EMP0761</t>
  </si>
  <si>
    <t>EMP0762</t>
  </si>
  <si>
    <t>EMP0763</t>
  </si>
  <si>
    <t>Ishita Iyer</t>
  </si>
  <si>
    <t>EMP0764</t>
  </si>
  <si>
    <t>EMP0765</t>
  </si>
  <si>
    <t>EMP0766</t>
  </si>
  <si>
    <t>EMP0767</t>
  </si>
  <si>
    <t>EMP0768</t>
  </si>
  <si>
    <t>EMP0769</t>
  </si>
  <si>
    <t>Keerthi Bose</t>
  </si>
  <si>
    <t>EMP0770</t>
  </si>
  <si>
    <t>Arjun Kannan</t>
  </si>
  <si>
    <t>EMP0771</t>
  </si>
  <si>
    <t>EMP0772</t>
  </si>
  <si>
    <t>EMP0773</t>
  </si>
  <si>
    <t>EMP0774</t>
  </si>
  <si>
    <t>EMP0775</t>
  </si>
  <si>
    <t>EMP0776</t>
  </si>
  <si>
    <t>EMP0777</t>
  </si>
  <si>
    <t>EMP0778</t>
  </si>
  <si>
    <t>EMP0779</t>
  </si>
  <si>
    <t>EMP0780</t>
  </si>
  <si>
    <t>EMP0781</t>
  </si>
  <si>
    <t>Manoj Shah</t>
  </si>
  <si>
    <t>EMP0782</t>
  </si>
  <si>
    <t>EMP0783</t>
  </si>
  <si>
    <t>EMP0784</t>
  </si>
  <si>
    <t>EMP0785</t>
  </si>
  <si>
    <t>EMP0786</t>
  </si>
  <si>
    <t>EMP0787</t>
  </si>
  <si>
    <t>Kiran Joshi</t>
  </si>
  <si>
    <t>EMP0788</t>
  </si>
  <si>
    <t>EMP0789</t>
  </si>
  <si>
    <t>EMP0790</t>
  </si>
  <si>
    <t>EMP0791</t>
  </si>
  <si>
    <t>EMP0792</t>
  </si>
  <si>
    <t>EMP0793</t>
  </si>
  <si>
    <t>EMP0794</t>
  </si>
  <si>
    <t>EMP0795</t>
  </si>
  <si>
    <t>EMP0796</t>
  </si>
  <si>
    <t>Keerthi Shah</t>
  </si>
  <si>
    <t>EMP0797</t>
  </si>
  <si>
    <t>EMP0798</t>
  </si>
  <si>
    <t>EMP0799</t>
  </si>
  <si>
    <t>EMP0800</t>
  </si>
  <si>
    <t>EMP0801</t>
  </si>
  <si>
    <t>EMP0802</t>
  </si>
  <si>
    <t>EMP0803</t>
  </si>
  <si>
    <t>EMP0804</t>
  </si>
  <si>
    <t>EMP0805</t>
  </si>
  <si>
    <t>Anil  Verma</t>
  </si>
  <si>
    <t>EMP0806</t>
  </si>
  <si>
    <t>EMP0807</t>
  </si>
  <si>
    <t>EMP0808</t>
  </si>
  <si>
    <t>EMP0809</t>
  </si>
  <si>
    <t>EMP0810</t>
  </si>
  <si>
    <t>Nisha Shah</t>
  </si>
  <si>
    <t>EMP0811</t>
  </si>
  <si>
    <t>Divya Kannan</t>
  </si>
  <si>
    <t>EMP0812</t>
  </si>
  <si>
    <t>EMP0813</t>
  </si>
  <si>
    <t>EMP0814</t>
  </si>
  <si>
    <t>Ananya Jain</t>
  </si>
  <si>
    <t>EMP0815</t>
  </si>
  <si>
    <t>EMP0816</t>
  </si>
  <si>
    <t>EMP0817</t>
  </si>
  <si>
    <t>EMP0818</t>
  </si>
  <si>
    <t>EMP0819</t>
  </si>
  <si>
    <t>EMP0820</t>
  </si>
  <si>
    <t>EMP0821</t>
  </si>
  <si>
    <t>EMP0822</t>
  </si>
  <si>
    <t>Lakshmi Kannan</t>
  </si>
  <si>
    <t>EMP0823</t>
  </si>
  <si>
    <t>EMP0824</t>
  </si>
  <si>
    <t>EMP0825</t>
  </si>
  <si>
    <t>EMP0826</t>
  </si>
  <si>
    <t>EMP0827</t>
  </si>
  <si>
    <t>EMP0828</t>
  </si>
  <si>
    <t>EMP0829</t>
  </si>
  <si>
    <t>EMP0830</t>
  </si>
  <si>
    <t>EMP0831</t>
  </si>
  <si>
    <t>EMP0832</t>
  </si>
  <si>
    <t>Rohan Kannan</t>
  </si>
  <si>
    <t>EMP0833</t>
  </si>
  <si>
    <t>EMP0834</t>
  </si>
  <si>
    <t>Ananya Joshi</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</si>
  <si>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</si>
  <si>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</si>
  <si>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</si>
  <si>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</si>
  <si>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</si>
  <si>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</si>
  <si>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</si>
  <si>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</si>
  <si>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</si>
  <si>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</si>
  <si>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</si>
  <si>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</si>
  <si>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</si>
  <si>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</si>
  <si>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</si>
  <si>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</si>
  <si>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</si>
  <si>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Keerthi Verma</t>
  </si>
  <si>
    <t>EMP0852</t>
  </si>
  <si>
    <t>EMP0853</t>
  </si>
  <si>
    <t>EMP0854</t>
  </si>
  <si>
    <t>EMP0855</t>
  </si>
  <si>
    <t>EMP0856</t>
  </si>
  <si>
    <t>EMP0857</t>
  </si>
  <si>
    <t>Kavya Das</t>
  </si>
  <si>
    <t>EMP0858</t>
  </si>
  <si>
    <t>EMP0859</t>
  </si>
  <si>
    <t>EMP0860</t>
  </si>
  <si>
    <t>EMP0861</t>
  </si>
  <si>
    <t>EMP0862</t>
  </si>
  <si>
    <t>EMP0863</t>
  </si>
  <si>
    <t>EMP0864</t>
  </si>
  <si>
    <t>EMP0865</t>
  </si>
  <si>
    <t>EMP0866</t>
  </si>
  <si>
    <t>EMP0867</t>
  </si>
  <si>
    <t>EMP0868</t>
  </si>
  <si>
    <t>EMP0869</t>
  </si>
  <si>
    <t>Priya Singh</t>
  </si>
  <si>
    <t>EMP0870</t>
  </si>
  <si>
    <t>EMP0871</t>
  </si>
  <si>
    <t>EMP0872</t>
  </si>
  <si>
    <t>Aisha  Joshi</t>
  </si>
  <si>
    <t>EMP0873</t>
  </si>
  <si>
    <t>EMP0874</t>
  </si>
  <si>
    <t>EMP0875</t>
  </si>
  <si>
    <t>EMP0876</t>
  </si>
  <si>
    <t>EMP0877</t>
  </si>
  <si>
    <t>EMP0878</t>
  </si>
  <si>
    <t>EMP0879</t>
  </si>
  <si>
    <t>EMP0880</t>
  </si>
  <si>
    <t>EMP0881</t>
  </si>
  <si>
    <t>EMP0882</t>
  </si>
  <si>
    <t>EMP0883</t>
  </si>
  <si>
    <t>EMP0884</t>
  </si>
  <si>
    <t>EMP0885</t>
  </si>
  <si>
    <t>EMP0886</t>
  </si>
  <si>
    <t>EMP0887</t>
  </si>
  <si>
    <t>Naveen Gupta</t>
  </si>
  <si>
    <t>EMP0888</t>
  </si>
  <si>
    <t>EMP0889</t>
  </si>
  <si>
    <t>Suresh Bose</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</si>
  <si>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</si>
  <si>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</si>
  <si>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</si>
  <si>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</si>
  <si>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</si>
  <si>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</si>
  <si>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</si>
  <si>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</si>
  <si>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</si>
  <si>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</si>
  <si>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</si>
  <si>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</si>
  <si>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</si>
  <si>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</si>
  <si>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</si>
  <si>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</si>
  <si>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</si>
  <si>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</si>
  <si>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</si>
  <si>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</si>
  <si>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</si>
  <si>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</si>
  <si>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</si>
  <si>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</si>
  <si>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</si>
  <si>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</si>
  <si>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</si>
  <si>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Nisha Reddy</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</si>
  <si>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</si>
  <si>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</si>
  <si>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</si>
  <si>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</si>
  <si>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</si>
  <si>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</si>
  <si>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</si>
  <si>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</si>
  <si>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</si>
  <si>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</si>
  <si>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</si>
  <si>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</si>
  <si>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</si>
  <si>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</si>
  <si>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</si>
  <si>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</si>
  <si>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</si>
  <si>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</si>
  <si>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</si>
  <si>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</si>
  <si>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</si>
  <si>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</si>
  <si>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</si>
  <si>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Nisha  Singh</t>
  </si>
  <si>
    <t>EMP0940</t>
  </si>
  <si>
    <t>EMP0941</t>
  </si>
  <si>
    <t>EMP0942</t>
  </si>
  <si>
    <t>EMP0943</t>
  </si>
  <si>
    <t>EMP0944</t>
  </si>
  <si>
    <t>EMP0945</t>
  </si>
  <si>
    <t>EMP0946</t>
  </si>
  <si>
    <t>EMP0947</t>
  </si>
  <si>
    <t>EMP0948</t>
  </si>
  <si>
    <t>EMP0949</t>
  </si>
  <si>
    <t>EMP0950</t>
  </si>
  <si>
    <t>Vikram Rao</t>
  </si>
  <si>
    <t>EMP0951</t>
  </si>
  <si>
    <t>EMP0952</t>
  </si>
  <si>
    <t>EMP0953</t>
  </si>
  <si>
    <t>EMP0954</t>
  </si>
  <si>
    <t>EMP0955</t>
  </si>
  <si>
    <t>EMP0956</t>
  </si>
  <si>
    <t>Priya Reddy</t>
  </si>
  <si>
    <t>EMP0957</t>
  </si>
  <si>
    <t>EMP0958</t>
  </si>
  <si>
    <t>EMP0959</t>
  </si>
  <si>
    <t>Naveen Rao</t>
  </si>
  <si>
    <t>EMP0960</t>
  </si>
  <si>
    <t>EMP0961</t>
  </si>
  <si>
    <t>EMP0962</t>
  </si>
  <si>
    <t>EMP0963</t>
  </si>
  <si>
    <t>Anil Reddy</t>
  </si>
  <si>
    <t>EMP0964</t>
  </si>
  <si>
    <t>EMP0965</t>
  </si>
  <si>
    <t>EMP0966</t>
  </si>
  <si>
    <t>Priya Kannan</t>
  </si>
  <si>
    <t>EMP0967</t>
  </si>
  <si>
    <t>EMP0968</t>
  </si>
  <si>
    <t>EMP0969</t>
  </si>
  <si>
    <t>EMP0970</t>
  </si>
  <si>
    <t>EMP0971</t>
  </si>
  <si>
    <t>EMP0972</t>
  </si>
  <si>
    <t>EMP0973</t>
  </si>
  <si>
    <t>EMP0974</t>
  </si>
  <si>
    <t>EMP0975</t>
  </si>
  <si>
    <t>EMP0976</t>
  </si>
  <si>
    <t>EMP0977</t>
  </si>
  <si>
    <t>Meera Krishnan</t>
  </si>
  <si>
    <t>EMP0978</t>
  </si>
  <si>
    <t>Pooja Sharma</t>
  </si>
  <si>
    <t>EMP0979</t>
  </si>
  <si>
    <t>EMP0980</t>
  </si>
  <si>
    <t>Ananya Gupta</t>
  </si>
  <si>
    <t>EMP0981</t>
  </si>
  <si>
    <t>Sanjay Gupta</t>
  </si>
  <si>
    <t>EMP0982</t>
  </si>
  <si>
    <t>EMP0983</t>
  </si>
  <si>
    <t>EMP0984</t>
  </si>
  <si>
    <t>EMP0985</t>
  </si>
  <si>
    <t>EMP0986</t>
  </si>
  <si>
    <t>EMP0987</t>
  </si>
  <si>
    <t>EMP0988</t>
  </si>
  <si>
    <t>EMP0989</t>
  </si>
  <si>
    <t>Manoj Rao</t>
  </si>
  <si>
    <t>EMP0990</t>
  </si>
  <si>
    <t>EMP0991</t>
  </si>
  <si>
    <t>EMP0992</t>
  </si>
  <si>
    <t>EMP0993</t>
  </si>
  <si>
    <t>EMP0994</t>
  </si>
  <si>
    <t>EMP0995</t>
  </si>
  <si>
    <t>Nisha Kannan</t>
  </si>
  <si>
    <t>EMP0996</t>
  </si>
  <si>
    <t>EMP0997</t>
  </si>
  <si>
    <t>EMP0998</t>
  </si>
  <si>
    <t>EMP0999</t>
  </si>
  <si>
    <t>EMP1000</t>
  </si>
  <si>
    <t>Nisha Menon</t>
  </si>
  <si>
    <t>Count of Employee_ID</t>
  </si>
  <si>
    <t>Row Labels</t>
  </si>
  <si>
    <t>Grand Total</t>
  </si>
  <si>
    <t>Average of Monthly_Salary_INR</t>
  </si>
  <si>
    <t>Count of Employee_Name</t>
  </si>
  <si>
    <t>Month of attrition</t>
  </si>
  <si>
    <t>YEAR of attrition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</si>
</sst>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m\-yyyy"/>
  </numFmts>
  <fonts count="4">
    <font>
      <sz val="11"/>
      <color theme="1"/>
      <name val="Arial"/>
      <family val="2"/>
      <scheme val="minor"/>
    </font>
    <font>
      <b/>
      <sz val="11"/>
      <color theme="1"/>
      <name val="Arial"/>
      <family val="2"/>
      <scheme val="minor"/>
    </font>
    <font>
      <b/>
      <sz val="11"/>
      <color rgb="FFFFFFFF"/>
      <name val="Carlito"/>
    </font>
    <font>
      <sz val="10"/>
      <color theme="1"/>
      <name val="Arial Unicode MS"/>
      <family val="2"/>
    </font>
  </fonts>
  <fills count="4">
    <fill>
      <patternFill patternType="none"/>
    </fill>
    <fill>
      <patternFill patternType="gray125"/>
    </fill>
    <fill>
      <patternFill patternType="solid">
        <fgColor rgb="FF16324F"/>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4">
    <xf numFmtId="0" fontId="0" fillId="0" borderId="0" xfId="0"/>
    <xf numFmtId="0" fontId="2" fillId="2" borderId="0" xfId="0" applyFont="1" applyFill="1"/>
    <xf numFmtId="164" fontId="0" fillId="0" borderId="0" xfId="0" applyNumberFormat="1"/>
    <xf numFmtId="3" fontId="0" fillId="0" borderId="0" xfId="0" applyNumberFormat="1"/>
    <xf numFmtId="0" fontId="0" fillId="0" borderId="0" xfId="0" applyNumberFormat="1"/>
    <xf numFmtId="0" fontId="1" fillId="3"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 fillId="3" borderId="2" xfId="0" applyFont="1" applyFill="1" applyBorder="1" applyAlignment="1">
      <alignment horizontal="left"/>
    </xf>
    <xf numFmtId="0" fontId="1" fillId="3" borderId="2" xfId="0" applyNumberFormat="1" applyFont="1" applyFill="1" applyBorder="1"/>
    <xf numFmtId="0" fontId="3" fillId="0" borderId="0" xfId="0" applyFont="1" applyAlignment="1">
      <alignment vertical="center"/>
    </xf>
    <xf numFmtId="14" fontId="0" fillId="0" borderId="0" xfId="0" applyNumberFormat="1"/>
  </cellXfs>
  <cellStyles count="1">
    <cellStyle name="Normal" xfId="0" builtinId="0"/>
  </cellStyles>
  <dxfs count="3">
    <dxf>
      <numFmt numFmtId="0" formatCode="General"/>
    </dxf>
    <dxf>
      <numFmt numFmtId="19" formatCode="m/d/yyyy"/>
    </dxf>
    <dxf>
      <numFmt numFmtId="19" formatCode="m/d/yyyy"/>
    </dxf>
  </dxfs>
  <tableStyles count="0" defaultTableStyle="TableStyleMedium2" defaultPivotStyle="PivotStyleLight16"/>
  <colors>
    <mruColors>
      <color rgb="FF080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[NEW HR.xlsx]Sheet2!education wise attrition</c:name>
    <c:fmtId val="51"/>
  </c:pivotSource>
  <c:chart>
    <c:title>
      <c:tx>
        <c:rich>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rPr>
              <a:t>EDUCATION WISE ATTRITION</a:t>
            </a:r>
          </a:p>
        </c:rich>
      </c:tx>
      <c:layout>
        <c:manualLayout>
          <c:xMode val="edge"/>
          <c:yMode val="edge"/>
          <c:x val="0.29494161995935375"/>
          <c:y val="5.342402702939647E-3"/>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spPr>
          <a:solidFill>
            <a:schemeClr val="accent5"/>
          </a:solidFill>
          <a:ln>
            <a:noFill/>
          </a:ln>
          <a:effectLst/>
        </c:spPr>
        <c:marker>
          <c:spPr>
            <a:solidFill>
              <a:schemeClr val="accent5"/>
            </a:solidFill>
            <a:ln w="9525">
              <a:solidFill>
                <a:schemeClr val="accent5"/>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accent5"/>
          </a:solidFill>
          <a:ln>
            <a:noFill/>
          </a:ln>
          <a:effectLst/>
        </c:spPr>
        <c:marker>
          <c:spPr>
            <a:solidFill>
              <a:schemeClr val="accent5"/>
            </a:solidFill>
            <a:ln w="9525">
              <a:solidFill>
                <a:schemeClr val="accent5"/>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5"/>
          </a:solidFill>
          <a:ln>
            <a:noFill/>
          </a:ln>
          <a:effectLst/>
        </c:spPr>
        <c:marker>
          <c:spPr>
            <a:solidFill>
              <a:schemeClr val="accent5"/>
            </a:solidFill>
            <a:ln w="9525">
              <a:solidFill>
                <a:schemeClr val="accent5"/>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5"/>
          </a:solidFill>
          <a:ln>
            <a:noFill/>
          </a:ln>
          <a:effectLst/>
        </c:spPr>
        <c:marker>
          <c:spPr>
            <a:solidFill>
              <a:schemeClr val="accent5"/>
            </a:solidFill>
            <a:ln w="9525">
              <a:solidFill>
                <a:schemeClr val="accent5"/>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solidFill>
            <a:schemeClr val="accent5"/>
          </a:solidFill>
          <a:ln>
            <a:noFill/>
          </a:ln>
          <a:effectLst/>
        </c:spPr>
        <c:marker>
          <c:spPr>
            <a:solidFill>
              <a:schemeClr val="accent5"/>
            </a:solidFill>
            <a:ln w="9525">
              <a:solidFill>
                <a:schemeClr val="accent5"/>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solidFill>
            <a:schemeClr val="accent5"/>
          </a:solidFill>
          <a:ln>
            <a:noFill/>
          </a:ln>
          <a:effectLst/>
        </c:spPr>
      </c:pivotFmt>
      <c:pivotFmt>
        <c:idx val="42"/>
        <c:spPr>
          <a:solidFill>
            <a:schemeClr val="accent5"/>
          </a:solidFill>
          <a:ln>
            <a:noFill/>
          </a:ln>
          <a:effectLst/>
        </c:spPr>
      </c:pivotFmt>
      <c:pivotFmt>
        <c:idx val="43"/>
        <c:spPr>
          <a:solidFill>
            <a:schemeClr val="accent5"/>
          </a:solidFill>
          <a:ln>
            <a:noFill/>
          </a:ln>
          <a:effectLst/>
        </c:spPr>
      </c:pivotFmt>
      <c:pivotFmt>
        <c:idx val="44"/>
        <c:spPr>
          <a:solidFill>
            <a:schemeClr val="accent5"/>
          </a:solidFill>
          <a:ln>
            <a:noFill/>
          </a:ln>
          <a:effectLst/>
        </c:spPr>
        <c:dLbl>
          <c:idx val="0"/>
          <c:layout>
            <c:manualLayout>
              <c:x val="3.5644932978009343E-3"/>
              <c:y val="2.0985786673694978E-2"/>
            </c:manualLayout>
          </c:layout>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chemeClr val="accent5"/>
          </a:solidFill>
          <a:ln>
            <a:noFill/>
          </a:ln>
          <a:effectLst/>
        </c:spPr>
      </c:pivotFmt>
      <c:pivotFmt>
        <c:idx val="46"/>
        <c:spPr>
          <a:solidFill>
            <a:schemeClr val="accent5"/>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077669992455642E-2"/>
          <c:y val="0.36707066746531802"/>
          <c:w val="0.69522455070490863"/>
          <c:h val="0.61378146142336099"/>
        </c:manualLayout>
      </c:layout>
      <c:barChart>
        <c:barDir val="col"/>
        <c:grouping val="clustered"/>
        <c:varyColors val="0"/>
        <c:ser>
          <c:idx val="0"/>
          <c:order val="0"/>
          <c:tx>
            <c:strRef>
              <c:f>Sheet2!$E$78</c:f>
              <c:strCache>
                <c:ptCount val="1"/>
                <c:pt idx="0">
                  <c:v>Total</c:v>
                </c:pt>
              </c:strCache>
            </c:strRef>
          </c:tx>
          <c:spPr>
            <a:solidFill>
              <a:schemeClr val="accent5"/>
            </a:solidFill>
            <a:ln>
              <a:noFill/>
            </a:ln>
            <a:effectLst/>
          </c:spPr>
          <c:invertIfNegative val="0"/>
          <c:dPt>
            <c:idx val="0"/>
            <c:invertIfNegative val="0"/>
            <c:bubble3D val="0"/>
          </c:dPt>
          <c:dLbls>
            <c:dLbl>
              <c:idx val="4"/>
              <c:layout>
                <c:manualLayout>
                  <c:x val="3.5644932978009343E-3"/>
                  <c:y val="2.0985786673694978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Sheet2!$D$79:$D$84</c:f>
              <c:strCache>
                <c:ptCount val="5"/>
                <c:pt idx="0">
                  <c:v>Bachelor's</c:v>
                </c:pt>
                <c:pt idx="1">
                  <c:v>Diploma</c:v>
                </c:pt>
                <c:pt idx="2">
                  <c:v>High School</c:v>
                </c:pt>
                <c:pt idx="3">
                  <c:v>Master's</c:v>
                </c:pt>
                <c:pt idx="4">
                  <c:v>PhD</c:v>
                </c:pt>
              </c:strCache>
            </c:strRef>
          </c:cat>
          <c:val>
            <c:numRef>
              <c:f>Sheet2!$E$79:$E$84</c:f>
              <c:numCache>
                <c:formatCode>General</c:formatCode>
                <c:ptCount val="5"/>
                <c:pt idx="0">
                  <c:v>97</c:v>
                </c:pt>
                <c:pt idx="1">
                  <c:v>47</c:v>
                </c:pt>
                <c:pt idx="2">
                  <c:v>18</c:v>
                </c:pt>
                <c:pt idx="3">
                  <c:v>63</c:v>
                </c:pt>
                <c:pt idx="4">
                  <c:v>9</c:v>
                </c:pt>
              </c:numCache>
            </c:numRef>
          </c:val>
        </c:ser>
        <c:dLbls>
          <c:dLblPos val="ctr"/>
          <c:showLegendKey val="0"/>
          <c:showVal val="1"/>
          <c:showCatName val="0"/>
          <c:showSerName val="0"/>
          <c:showPercent val="0"/>
          <c:showBubbleSize val="0"/>
        </c:dLbls>
        <c:gapWidth val="444"/>
        <c:axId val="498725744"/>
        <c:axId val="498713984"/>
      </c:barChart>
      <c:catAx>
        <c:axId val="49872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chemeClr val="tx1"/>
                </a:solidFill>
                <a:latin typeface="+mn-lt"/>
                <a:ea typeface="+mn-ea"/>
                <a:cs typeface="+mn-cs"/>
              </a:defRPr>
            </a:pPr>
            <a:endParaRPr lang="en-US"/>
          </a:p>
        </c:txPr>
        <c:crossAx val="498713984"/>
        <c:crosses val="autoZero"/>
        <c:auto val="1"/>
        <c:lblAlgn val="ctr"/>
        <c:lblOffset val="100"/>
        <c:noMultiLvlLbl val="0"/>
      </c:catAx>
      <c:valAx>
        <c:axId val="498713984"/>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8725744"/>
        <c:crosses val="autoZero"/>
        <c:crossBetween val="between"/>
      </c:valAx>
      <c:spPr>
        <a:noFill/>
        <a:ln>
          <a:noFill/>
        </a:ln>
        <a:effectLst/>
      </c:spPr>
    </c:plotArea>
    <c:plotVisOnly val="1"/>
    <c:dispBlanksAs val="gap"/>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HR.xlsx]Sheet2!department wise attrition</c:name>
    <c:fmtId val="43"/>
  </c:pivotSource>
  <c:chart>
    <c:title>
      <c:tx>
        <c:rich>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rPr>
              <a:t>DEPARTMENT WISE ATTRITION</a:t>
            </a:r>
          </a:p>
        </c:rich>
      </c:tx>
      <c:layout>
        <c:manualLayout>
          <c:xMode val="edge"/>
          <c:yMode val="edge"/>
          <c:x val="0.20525531820757917"/>
          <c:y val="1.4796317619851144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0"/>
          <c:showVal val="1"/>
          <c:showCatName val="0"/>
          <c:showSerName val="1"/>
          <c:showPercent val="0"/>
          <c:showBubbleSize val="0"/>
          <c:extLst>
            <c:ext xmlns:c15="http://schemas.microsoft.com/office/drawing/2012/chart" uri="{CE6537A1-D6FC-4f65-9D91-7224C49458BB}"/>
          </c:extLst>
        </c:dLbl>
      </c:pivotFmt>
      <c:pivotFmt>
        <c:idx val="17"/>
        <c:dLbl>
          <c:idx val="0"/>
          <c:showLegendKey val="0"/>
          <c:showVal val="1"/>
          <c:showCatName val="0"/>
          <c:showSerName val="1"/>
          <c:showPercent val="0"/>
          <c:showBubbleSize val="0"/>
          <c:extLst>
            <c:ext xmlns:c15="http://schemas.microsoft.com/office/drawing/2012/chart" uri="{CE6537A1-D6FC-4f65-9D91-7224C49458BB}"/>
          </c:extLst>
        </c:dLbl>
      </c:pivotFmt>
      <c:pivotFmt>
        <c:idx val="18"/>
        <c:dLbl>
          <c:idx val="0"/>
          <c:showLegendKey val="0"/>
          <c:showVal val="1"/>
          <c:showCatName val="0"/>
          <c:showSerName val="1"/>
          <c:showPercent val="0"/>
          <c:showBubbleSize val="0"/>
          <c:extLst>
            <c:ext xmlns:c15="http://schemas.microsoft.com/office/drawing/2012/chart" uri="{CE6537A1-D6FC-4f65-9D91-7224C49458BB}"/>
          </c:extLst>
        </c:dLbl>
      </c:pivotFmt>
      <c:pivotFmt>
        <c:idx val="19"/>
      </c:pivotFmt>
      <c:pivotFmt>
        <c:idx val="20"/>
        <c:dLbl>
          <c:idx val="0"/>
          <c:showLegendKey val="0"/>
          <c:showVal val="1"/>
          <c:showCatName val="0"/>
          <c:showSerName val="1"/>
          <c:showPercent val="0"/>
          <c:showBubbleSize val="0"/>
          <c:extLst>
            <c:ext xmlns:c15="http://schemas.microsoft.com/office/drawing/2012/chart" uri="{CE6537A1-D6FC-4f65-9D91-7224C49458BB}"/>
          </c:extLst>
        </c:dLbl>
      </c:pivotFmt>
      <c:pivotFmt>
        <c:idx val="21"/>
        <c:dLbl>
          <c:idx val="0"/>
          <c:showLegendKey val="0"/>
          <c:showVal val="1"/>
          <c:showCatName val="0"/>
          <c:showSerName val="1"/>
          <c:showPercent val="0"/>
          <c:showBubbleSize val="0"/>
          <c:extLst>
            <c:ext xmlns:c15="http://schemas.microsoft.com/office/drawing/2012/chart" uri="{CE6537A1-D6FC-4f65-9D91-7224C49458BB}"/>
          </c:extLst>
        </c:dLbl>
      </c:pivotFmt>
      <c:pivotFmt>
        <c:idx val="22"/>
        <c:dLbl>
          <c:idx val="0"/>
          <c:showLegendKey val="0"/>
          <c:showVal val="1"/>
          <c:showCatName val="0"/>
          <c:showSerName val="1"/>
          <c:showPercent val="0"/>
          <c:showBubbleSize val="0"/>
          <c:extLst>
            <c:ext xmlns:c15="http://schemas.microsoft.com/office/drawing/2012/chart" uri="{CE6537A1-D6FC-4f65-9D91-7224C49458BB}"/>
          </c:extLst>
        </c:dLbl>
      </c:pivotFmt>
      <c:pivotFmt>
        <c:idx val="23"/>
        <c:dLbl>
          <c:idx val="0"/>
          <c:showLegendKey val="0"/>
          <c:showVal val="1"/>
          <c:showCatName val="0"/>
          <c:showSerName val="1"/>
          <c:showPercent val="0"/>
          <c:showBubbleSize val="0"/>
          <c:extLst>
            <c:ext xmlns:c15="http://schemas.microsoft.com/office/drawing/2012/chart" uri="{CE6537A1-D6FC-4f65-9D91-7224C49458BB}"/>
          </c:extLst>
        </c:dLbl>
      </c:pivotFmt>
      <c:pivotFmt>
        <c:idx val="24"/>
        <c:dLbl>
          <c:idx val="0"/>
          <c:layout>
            <c:manualLayout>
              <c:x val="-0.21908486159199775"/>
              <c:y val="-0.14295870343772771"/>
            </c:manualLayout>
          </c:layout>
          <c:showLegendKey val="0"/>
          <c:showVal val="1"/>
          <c:showCatName val="0"/>
          <c:showSerName val="1"/>
          <c:showPercent val="0"/>
          <c:showBubbleSize val="0"/>
          <c:extLst>
            <c:ext xmlns:c15="http://schemas.microsoft.com/office/drawing/2012/chart" uri="{CE6537A1-D6FC-4f65-9D91-7224C49458BB}"/>
          </c:extLst>
        </c:dLbl>
      </c:pivotFmt>
      <c:pivotFmt>
        <c:idx val="25"/>
        <c:dLbl>
          <c:idx val="0"/>
          <c:layout>
            <c:manualLayout>
              <c:x val="-0.24127067036080763"/>
              <c:y val="-5.8076973271576862E-2"/>
            </c:manualLayout>
          </c:layout>
          <c:showLegendKey val="0"/>
          <c:showVal val="1"/>
          <c:showCatName val="0"/>
          <c:showSerName val="1"/>
          <c:showPercent val="0"/>
          <c:showBubbleSize val="0"/>
          <c:extLst>
            <c:ext xmlns:c15="http://schemas.microsoft.com/office/drawing/2012/chart" uri="{CE6537A1-D6FC-4f65-9D91-7224C49458BB}"/>
          </c:extLst>
        </c:dLbl>
      </c:pivotFmt>
      <c:pivotFmt>
        <c:idx val="26"/>
        <c:dLbl>
          <c:idx val="0"/>
          <c:layout>
            <c:manualLayout>
              <c:x val="-0.24959034864911134"/>
              <c:y val="-2.6804756894573935E-2"/>
            </c:manualLayout>
          </c:layout>
          <c:showLegendKey val="0"/>
          <c:showVal val="1"/>
          <c:showCatName val="0"/>
          <c:showSerName val="1"/>
          <c:showPercent val="0"/>
          <c:showBubbleSize val="0"/>
          <c:extLst>
            <c:ext xmlns:c15="http://schemas.microsoft.com/office/drawing/2012/chart" uri="{CE6537A1-D6FC-4f65-9D91-7224C49458BB}"/>
          </c:extLst>
        </c:dLbl>
      </c:pivotFmt>
      <c:pivotFmt>
        <c:idx val="27"/>
        <c:dLbl>
          <c:idx val="0"/>
          <c:layout>
            <c:manualLayout>
              <c:x val="8.5970008979138354E-2"/>
              <c:y val="0.15189362240258564"/>
            </c:manualLayout>
          </c:layout>
          <c:showLegendKey val="0"/>
          <c:showVal val="1"/>
          <c:showCatName val="0"/>
          <c:showSerName val="1"/>
          <c:showPercent val="0"/>
          <c:showBubbleSize val="0"/>
          <c:extLst>
            <c:ext xmlns:c15="http://schemas.microsoft.com/office/drawing/2012/chart" uri="{CE6537A1-D6FC-4f65-9D91-7224C49458BB}"/>
          </c:extLst>
        </c:dLbl>
      </c:pivotFmt>
      <c:pivotFmt>
        <c:idx val="28"/>
        <c:dLbl>
          <c:idx val="0"/>
          <c:layout>
            <c:manualLayout>
              <c:x val="-0.25236357474521259"/>
              <c:y val="8.9349189648579783E-3"/>
            </c:manualLayout>
          </c:layout>
          <c:showLegendKey val="0"/>
          <c:showVal val="1"/>
          <c:showCatName val="0"/>
          <c:showSerName val="1"/>
          <c:showPercent val="0"/>
          <c:showBubbleSize val="0"/>
          <c:extLst>
            <c:ext xmlns:c15="http://schemas.microsoft.com/office/drawing/2012/chart" uri="{CE6537A1-D6FC-4f65-9D91-7224C49458BB}"/>
          </c:extLst>
        </c:dLbl>
      </c:pivotFmt>
      <c:pivotFmt>
        <c:idx val="29"/>
        <c:dLbl>
          <c:idx val="0"/>
          <c:layout>
            <c:manualLayout>
              <c:x val="-0.22740453988030146"/>
              <c:y val="8.4881730166150637E-2"/>
            </c:manualLayout>
          </c:layout>
          <c:showLegendKey val="0"/>
          <c:showVal val="1"/>
          <c:showCatName val="0"/>
          <c:showSerName val="1"/>
          <c:showPercent val="0"/>
          <c:showBubbleSize val="0"/>
          <c:extLst>
            <c:ext xmlns:c15="http://schemas.microsoft.com/office/drawing/2012/chart" uri="{CE6537A1-D6FC-4f65-9D91-7224C49458BB}"/>
          </c:extLst>
        </c:dLbl>
      </c:pivotFmt>
      <c:pivotFmt>
        <c:idx val="30"/>
        <c:dLbl>
          <c:idx val="0"/>
          <c:layout>
            <c:manualLayout>
              <c:x val="0.33001390543604714"/>
              <c:y val="-4.4674594824289891E-3"/>
            </c:manualLayout>
          </c:layout>
          <c:showLegendKey val="0"/>
          <c:showVal val="1"/>
          <c:showCatName val="0"/>
          <c:showSerName val="1"/>
          <c:showPercent val="0"/>
          <c:showBubbleSize val="0"/>
          <c:extLst>
            <c:ext xmlns:c15="http://schemas.microsoft.com/office/drawing/2012/chart" uri="{CE6537A1-D6FC-4f65-9D91-7224C49458BB}"/>
          </c:extLst>
        </c:dLbl>
      </c:pivotFmt>
      <c:pivotFmt>
        <c:idx val="31"/>
      </c:pivotFmt>
      <c:pivotFmt>
        <c:idx val="32"/>
        <c:dLbl>
          <c:idx val="0"/>
          <c:showLegendKey val="0"/>
          <c:showVal val="1"/>
          <c:showCatName val="0"/>
          <c:showSerName val="1"/>
          <c:showPercent val="0"/>
          <c:showBubbleSize val="0"/>
          <c:extLst>
            <c:ext xmlns:c15="http://schemas.microsoft.com/office/drawing/2012/chart" uri="{CE6537A1-D6FC-4f65-9D91-7224C49458BB}"/>
          </c:extLst>
        </c:dLbl>
      </c:pivotFmt>
      <c:pivotFmt>
        <c:idx val="33"/>
        <c:dLbl>
          <c:idx val="0"/>
          <c:layout>
            <c:manualLayout>
              <c:x val="8.5970008979138354E-2"/>
              <c:y val="0.15189362240258564"/>
            </c:manualLayout>
          </c:layout>
          <c:showLegendKey val="0"/>
          <c:showVal val="1"/>
          <c:showCatName val="0"/>
          <c:showSerName val="1"/>
          <c:showPercent val="0"/>
          <c:showBubbleSize val="0"/>
          <c:extLst>
            <c:ext xmlns:c15="http://schemas.microsoft.com/office/drawing/2012/chart" uri="{CE6537A1-D6FC-4f65-9D91-7224C49458BB}"/>
          </c:extLst>
        </c:dLbl>
      </c:pivotFmt>
      <c:pivotFmt>
        <c:idx val="34"/>
        <c:dLbl>
          <c:idx val="0"/>
          <c:showLegendKey val="0"/>
          <c:showVal val="1"/>
          <c:showCatName val="0"/>
          <c:showSerName val="1"/>
          <c:showPercent val="0"/>
          <c:showBubbleSize val="0"/>
          <c:extLst>
            <c:ext xmlns:c15="http://schemas.microsoft.com/office/drawing/2012/chart" uri="{CE6537A1-D6FC-4f65-9D91-7224C49458BB}"/>
          </c:extLst>
        </c:dLbl>
      </c:pivotFmt>
      <c:pivotFmt>
        <c:idx val="35"/>
        <c:dLbl>
          <c:idx val="0"/>
          <c:layout>
            <c:manualLayout>
              <c:x val="-0.22740453988030146"/>
              <c:y val="8.4881730166150637E-2"/>
            </c:manualLayout>
          </c:layout>
          <c:showLegendKey val="0"/>
          <c:showVal val="1"/>
          <c:showCatName val="0"/>
          <c:showSerName val="1"/>
          <c:showPercent val="0"/>
          <c:showBubbleSize val="0"/>
          <c:extLst>
            <c:ext xmlns:c15="http://schemas.microsoft.com/office/drawing/2012/chart" uri="{CE6537A1-D6FC-4f65-9D91-7224C49458BB}"/>
          </c:extLst>
        </c:dLbl>
      </c:pivotFmt>
      <c:pivotFmt>
        <c:idx val="36"/>
        <c:dLbl>
          <c:idx val="0"/>
          <c:showLegendKey val="0"/>
          <c:showVal val="1"/>
          <c:showCatName val="0"/>
          <c:showSerName val="1"/>
          <c:showPercent val="0"/>
          <c:showBubbleSize val="0"/>
          <c:extLst>
            <c:ext xmlns:c15="http://schemas.microsoft.com/office/drawing/2012/chart" uri="{CE6537A1-D6FC-4f65-9D91-7224C49458BB}"/>
          </c:extLst>
        </c:dLbl>
      </c:pivotFmt>
      <c:pivotFmt>
        <c:idx val="37"/>
        <c:dLbl>
          <c:idx val="0"/>
          <c:layout>
            <c:manualLayout>
              <c:x val="-0.25236357474521259"/>
              <c:y val="8.9349189648579783E-3"/>
            </c:manualLayout>
          </c:layout>
          <c:showLegendKey val="0"/>
          <c:showVal val="1"/>
          <c:showCatName val="0"/>
          <c:showSerName val="1"/>
          <c:showPercent val="0"/>
          <c:showBubbleSize val="0"/>
          <c:extLst>
            <c:ext xmlns:c15="http://schemas.microsoft.com/office/drawing/2012/chart" uri="{CE6537A1-D6FC-4f65-9D91-7224C49458BB}"/>
          </c:extLst>
        </c:dLbl>
      </c:pivotFmt>
      <c:pivotFmt>
        <c:idx val="38"/>
      </c:pivotFmt>
      <c:pivotFmt>
        <c:idx val="39"/>
        <c:dLbl>
          <c:idx val="0"/>
          <c:showLegendKey val="0"/>
          <c:showVal val="1"/>
          <c:showCatName val="0"/>
          <c:showSerName val="1"/>
          <c:showPercent val="0"/>
          <c:showBubbleSize val="0"/>
          <c:extLst>
            <c:ext xmlns:c15="http://schemas.microsoft.com/office/drawing/2012/chart" uri="{CE6537A1-D6FC-4f65-9D91-7224C49458BB}"/>
          </c:extLst>
        </c:dLbl>
      </c:pivotFmt>
      <c:pivotFmt>
        <c:idx val="40"/>
        <c:dLbl>
          <c:idx val="0"/>
          <c:layout>
            <c:manualLayout>
              <c:x val="0.33001390543604714"/>
              <c:y val="-4.4674594824289891E-3"/>
            </c:manualLayout>
          </c:layout>
          <c:showLegendKey val="0"/>
          <c:showVal val="1"/>
          <c:showCatName val="0"/>
          <c:showSerName val="1"/>
          <c:showPercent val="0"/>
          <c:showBubbleSize val="0"/>
          <c:extLst>
            <c:ext xmlns:c15="http://schemas.microsoft.com/office/drawing/2012/chart" uri="{CE6537A1-D6FC-4f65-9D91-7224C49458BB}"/>
          </c:extLst>
        </c:dLbl>
      </c:pivotFmt>
      <c:pivotFmt>
        <c:idx val="41"/>
        <c:dLbl>
          <c:idx val="0"/>
          <c:showLegendKey val="0"/>
          <c:showVal val="1"/>
          <c:showCatName val="0"/>
          <c:showSerName val="1"/>
          <c:showPercent val="0"/>
          <c:showBubbleSize val="0"/>
          <c:extLst>
            <c:ext xmlns:c15="http://schemas.microsoft.com/office/drawing/2012/chart" uri="{CE6537A1-D6FC-4f65-9D91-7224C49458BB}"/>
          </c:extLst>
        </c:dLbl>
      </c:pivotFmt>
      <c:pivotFmt>
        <c:idx val="42"/>
        <c:dLbl>
          <c:idx val="0"/>
          <c:layout>
            <c:manualLayout>
              <c:x val="-0.24959034864911134"/>
              <c:y val="-2.6804756894573935E-2"/>
            </c:manualLayout>
          </c:layout>
          <c:showLegendKey val="0"/>
          <c:showVal val="1"/>
          <c:showCatName val="0"/>
          <c:showSerName val="1"/>
          <c:showPercent val="0"/>
          <c:showBubbleSize val="0"/>
          <c:extLst>
            <c:ext xmlns:c15="http://schemas.microsoft.com/office/drawing/2012/chart" uri="{CE6537A1-D6FC-4f65-9D91-7224C49458BB}"/>
          </c:extLst>
        </c:dLbl>
      </c:pivotFmt>
      <c:pivotFmt>
        <c:idx val="43"/>
        <c:dLbl>
          <c:idx val="0"/>
          <c:showLegendKey val="0"/>
          <c:showVal val="1"/>
          <c:showCatName val="0"/>
          <c:showSerName val="1"/>
          <c:showPercent val="0"/>
          <c:showBubbleSize val="0"/>
          <c:extLst>
            <c:ext xmlns:c15="http://schemas.microsoft.com/office/drawing/2012/chart" uri="{CE6537A1-D6FC-4f65-9D91-7224C49458BB}"/>
          </c:extLst>
        </c:dLbl>
      </c:pivotFmt>
      <c:pivotFmt>
        <c:idx val="44"/>
        <c:dLbl>
          <c:idx val="0"/>
          <c:layout>
            <c:manualLayout>
              <c:x val="-0.24127067036080763"/>
              <c:y val="-5.8076973271576862E-2"/>
            </c:manualLayout>
          </c:layout>
          <c:showLegendKey val="0"/>
          <c:showVal val="1"/>
          <c:showCatName val="0"/>
          <c:showSerName val="1"/>
          <c:showPercent val="0"/>
          <c:showBubbleSize val="0"/>
          <c:extLst>
            <c:ext xmlns:c15="http://schemas.microsoft.com/office/drawing/2012/chart" uri="{CE6537A1-D6FC-4f65-9D91-7224C49458BB}"/>
          </c:extLst>
        </c:dLbl>
      </c:pivotFmt>
      <c:pivotFmt>
        <c:idx val="45"/>
        <c:dLbl>
          <c:idx val="0"/>
          <c:showLegendKey val="0"/>
          <c:showVal val="1"/>
          <c:showCatName val="0"/>
          <c:showSerName val="1"/>
          <c:showPercent val="0"/>
          <c:showBubbleSize val="0"/>
          <c:extLst>
            <c:ext xmlns:c15="http://schemas.microsoft.com/office/drawing/2012/chart" uri="{CE6537A1-D6FC-4f65-9D91-7224C49458BB}"/>
          </c:extLst>
        </c:dLbl>
      </c:pivotFmt>
      <c:pivotFmt>
        <c:idx val="46"/>
        <c:dLbl>
          <c:idx val="0"/>
          <c:layout>
            <c:manualLayout>
              <c:x val="-0.21908486159199775"/>
              <c:y val="-0.14295870343772771"/>
            </c:manualLayout>
          </c:layout>
          <c:showLegendKey val="0"/>
          <c:showVal val="1"/>
          <c:showCatName val="0"/>
          <c:showSerName val="1"/>
          <c:showPercent val="0"/>
          <c:showBubbleSize val="0"/>
          <c:extLst>
            <c:ext xmlns:c15="http://schemas.microsoft.com/office/drawing/2012/chart" uri="{CE6537A1-D6FC-4f65-9D91-7224C49458BB}"/>
          </c:extLst>
        </c:dLbl>
      </c:pivotFmt>
      <c:pivotFmt>
        <c:idx val="47"/>
        <c:dLbl>
          <c:idx val="0"/>
          <c:showLegendKey val="0"/>
          <c:showVal val="1"/>
          <c:showCatName val="0"/>
          <c:showSerName val="1"/>
          <c:showPercent val="0"/>
          <c:showBubbleSize val="0"/>
          <c:extLst>
            <c:ext xmlns:c15="http://schemas.microsoft.com/office/drawing/2012/chart" uri="{CE6537A1-D6FC-4f65-9D91-7224C49458BB}"/>
          </c:extLst>
        </c:dLbl>
      </c:pivotFmt>
      <c:pivotFmt>
        <c:idx val="48"/>
        <c:dLbl>
          <c:idx val="0"/>
          <c:layout>
            <c:manualLayout>
              <c:x val="8.5970008979138354E-2"/>
              <c:y val="0.15189362240258564"/>
            </c:manualLayout>
          </c:layout>
          <c:showLegendKey val="0"/>
          <c:showVal val="1"/>
          <c:showCatName val="0"/>
          <c:showSerName val="1"/>
          <c:showPercent val="0"/>
          <c:showBubbleSize val="0"/>
          <c:extLst>
            <c:ext xmlns:c15="http://schemas.microsoft.com/office/drawing/2012/chart" uri="{CE6537A1-D6FC-4f65-9D91-7224C49458BB}"/>
          </c:extLst>
        </c:dLbl>
      </c:pivotFmt>
      <c:pivotFmt>
        <c:idx val="49"/>
        <c:dLbl>
          <c:idx val="0"/>
          <c:showLegendKey val="0"/>
          <c:showVal val="1"/>
          <c:showCatName val="0"/>
          <c:showSerName val="1"/>
          <c:showPercent val="0"/>
          <c:showBubbleSize val="0"/>
          <c:extLst>
            <c:ext xmlns:c15="http://schemas.microsoft.com/office/drawing/2012/chart" uri="{CE6537A1-D6FC-4f65-9D91-7224C49458BB}"/>
          </c:extLst>
        </c:dLbl>
      </c:pivotFmt>
      <c:pivotFmt>
        <c:idx val="50"/>
        <c:dLbl>
          <c:idx val="0"/>
          <c:layout>
            <c:manualLayout>
              <c:x val="-0.22740453988030146"/>
              <c:y val="8.4881730166150637E-2"/>
            </c:manualLayout>
          </c:layout>
          <c:showLegendKey val="0"/>
          <c:showVal val="1"/>
          <c:showCatName val="0"/>
          <c:showSerName val="1"/>
          <c:showPercent val="0"/>
          <c:showBubbleSize val="0"/>
          <c:extLst>
            <c:ext xmlns:c15="http://schemas.microsoft.com/office/drawing/2012/chart" uri="{CE6537A1-D6FC-4f65-9D91-7224C49458BB}"/>
          </c:extLst>
        </c:dLbl>
      </c:pivotFmt>
      <c:pivotFmt>
        <c:idx val="51"/>
        <c:dLbl>
          <c:idx val="0"/>
          <c:showLegendKey val="0"/>
          <c:showVal val="1"/>
          <c:showCatName val="0"/>
          <c:showSerName val="1"/>
          <c:showPercent val="0"/>
          <c:showBubbleSize val="0"/>
          <c:extLst>
            <c:ext xmlns:c15="http://schemas.microsoft.com/office/drawing/2012/chart" uri="{CE6537A1-D6FC-4f65-9D91-7224C49458BB}"/>
          </c:extLst>
        </c:dLbl>
      </c:pivotFmt>
      <c:pivotFmt>
        <c:idx val="52"/>
        <c:dLbl>
          <c:idx val="0"/>
          <c:layout>
            <c:manualLayout>
              <c:x val="-0.25236357474521259"/>
              <c:y val="8.9349189648579783E-3"/>
            </c:manualLayout>
          </c:layout>
          <c:showLegendKey val="0"/>
          <c:showVal val="1"/>
          <c:showCatName val="0"/>
          <c:showSerName val="1"/>
          <c:showPercent val="0"/>
          <c:showBubbleSize val="0"/>
          <c:extLst>
            <c:ext xmlns:c15="http://schemas.microsoft.com/office/drawing/2012/chart" uri="{CE6537A1-D6FC-4f65-9D91-7224C49458BB}"/>
          </c:extLst>
        </c:dLbl>
      </c:pivotFmt>
      <c:pivotFmt>
        <c:idx val="53"/>
      </c:pivotFmt>
      <c:pivotFmt>
        <c:idx val="54"/>
        <c:dLbl>
          <c:idx val="0"/>
          <c:showLegendKey val="0"/>
          <c:showVal val="1"/>
          <c:showCatName val="0"/>
          <c:showSerName val="1"/>
          <c:showPercent val="0"/>
          <c:showBubbleSize val="0"/>
          <c:extLst>
            <c:ext xmlns:c15="http://schemas.microsoft.com/office/drawing/2012/chart" uri="{CE6537A1-D6FC-4f65-9D91-7224C49458BB}"/>
          </c:extLst>
        </c:dLbl>
      </c:pivotFmt>
      <c:pivotFmt>
        <c:idx val="55"/>
        <c:dLbl>
          <c:idx val="0"/>
          <c:layout>
            <c:manualLayout>
              <c:x val="0.33001390543604714"/>
              <c:y val="-4.4674594824289891E-3"/>
            </c:manualLayout>
          </c:layout>
          <c:showLegendKey val="0"/>
          <c:showVal val="1"/>
          <c:showCatName val="0"/>
          <c:showSerName val="1"/>
          <c:showPercent val="0"/>
          <c:showBubbleSize val="0"/>
          <c:extLst>
            <c:ext xmlns:c15="http://schemas.microsoft.com/office/drawing/2012/chart" uri="{CE6537A1-D6FC-4f65-9D91-7224C49458BB}"/>
          </c:extLst>
        </c:dLbl>
      </c:pivotFmt>
      <c:pivotFmt>
        <c:idx val="56"/>
        <c:dLbl>
          <c:idx val="0"/>
          <c:showLegendKey val="0"/>
          <c:showVal val="1"/>
          <c:showCatName val="0"/>
          <c:showSerName val="1"/>
          <c:showPercent val="0"/>
          <c:showBubbleSize val="0"/>
          <c:extLst>
            <c:ext xmlns:c15="http://schemas.microsoft.com/office/drawing/2012/chart" uri="{CE6537A1-D6FC-4f65-9D91-7224C49458BB}"/>
          </c:extLst>
        </c:dLbl>
      </c:pivotFmt>
      <c:pivotFmt>
        <c:idx val="57"/>
        <c:dLbl>
          <c:idx val="0"/>
          <c:layout>
            <c:manualLayout>
              <c:x val="-0.24959034864911134"/>
              <c:y val="-2.6804756894573935E-2"/>
            </c:manualLayout>
          </c:layout>
          <c:showLegendKey val="0"/>
          <c:showVal val="1"/>
          <c:showCatName val="0"/>
          <c:showSerName val="1"/>
          <c:showPercent val="0"/>
          <c:showBubbleSize val="0"/>
          <c:extLst>
            <c:ext xmlns:c15="http://schemas.microsoft.com/office/drawing/2012/chart" uri="{CE6537A1-D6FC-4f65-9D91-7224C49458BB}"/>
          </c:extLst>
        </c:dLbl>
      </c:pivotFmt>
      <c:pivotFmt>
        <c:idx val="58"/>
        <c:dLbl>
          <c:idx val="0"/>
          <c:showLegendKey val="0"/>
          <c:showVal val="1"/>
          <c:showCatName val="0"/>
          <c:showSerName val="1"/>
          <c:showPercent val="0"/>
          <c:showBubbleSize val="0"/>
          <c:extLst>
            <c:ext xmlns:c15="http://schemas.microsoft.com/office/drawing/2012/chart" uri="{CE6537A1-D6FC-4f65-9D91-7224C49458BB}"/>
          </c:extLst>
        </c:dLbl>
      </c:pivotFmt>
      <c:pivotFmt>
        <c:idx val="59"/>
        <c:dLbl>
          <c:idx val="0"/>
          <c:layout>
            <c:manualLayout>
              <c:x val="-0.24127067036080763"/>
              <c:y val="-5.8076973271576862E-2"/>
            </c:manualLayout>
          </c:layout>
          <c:showLegendKey val="0"/>
          <c:showVal val="1"/>
          <c:showCatName val="0"/>
          <c:showSerName val="1"/>
          <c:showPercent val="0"/>
          <c:showBubbleSize val="0"/>
          <c:extLst>
            <c:ext xmlns:c15="http://schemas.microsoft.com/office/drawing/2012/chart" uri="{CE6537A1-D6FC-4f65-9D91-7224C49458BB}"/>
          </c:extLst>
        </c:dLbl>
      </c:pivotFmt>
      <c:pivotFmt>
        <c:idx val="60"/>
        <c:dLbl>
          <c:idx val="0"/>
          <c:showLegendKey val="0"/>
          <c:showVal val="1"/>
          <c:showCatName val="0"/>
          <c:showSerName val="1"/>
          <c:showPercent val="0"/>
          <c:showBubbleSize val="0"/>
          <c:extLst>
            <c:ext xmlns:c15="http://schemas.microsoft.com/office/drawing/2012/chart" uri="{CE6537A1-D6FC-4f65-9D91-7224C49458BB}"/>
          </c:extLst>
        </c:dLbl>
      </c:pivotFmt>
      <c:pivotFmt>
        <c:idx val="61"/>
        <c:dLbl>
          <c:idx val="0"/>
          <c:layout>
            <c:manualLayout>
              <c:x val="-0.21908486159199775"/>
              <c:y val="-0.14295870343772771"/>
            </c:manualLayout>
          </c:layout>
          <c:showLegendKey val="0"/>
          <c:showVal val="1"/>
          <c:showCatName val="0"/>
          <c:showSerName val="1"/>
          <c:showPercent val="0"/>
          <c:showBubbleSize val="0"/>
          <c:extLst>
            <c:ext xmlns:c15="http://schemas.microsoft.com/office/drawing/2012/chart" uri="{CE6537A1-D6FC-4f65-9D91-7224C49458BB}"/>
          </c:extLst>
        </c:dLbl>
      </c:pivotFmt>
      <c:pivotFmt>
        <c:idx val="62"/>
        <c:spPr>
          <a:pattFill prst="narVert">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dLblPos val="inEnd"/>
          <c:showLegendKey val="0"/>
          <c:showVal val="1"/>
          <c:showCatName val="0"/>
          <c:showSerName val="1"/>
          <c:showPercent val="0"/>
          <c:showBubbleSize val="0"/>
          <c:extLst>
            <c:ext xmlns:c15="http://schemas.microsoft.com/office/drawing/2012/chart" uri="{CE6537A1-D6FC-4f65-9D91-7224C49458BB}"/>
          </c:extLst>
        </c:dLbl>
      </c:pivotFmt>
      <c:pivotFmt>
        <c:idx val="63"/>
        <c:spPr>
          <a:pattFill prst="narVert">
            <a:fgClr>
              <a:schemeClr val="accent6"/>
            </a:fgClr>
            <a:bgClr>
              <a:schemeClr val="accent6">
                <a:lumMod val="20000"/>
                <a:lumOff val="80000"/>
              </a:schemeClr>
            </a:bgClr>
          </a:pattFill>
          <a:ln>
            <a:noFill/>
          </a:ln>
          <a:effectLst>
            <a:innerShdw blurRad="114300">
              <a:schemeClr val="accent6"/>
            </a:innerShdw>
          </a:effectLst>
        </c:spPr>
      </c:pivotFmt>
      <c:pivotFmt>
        <c:idx val="64"/>
        <c:spPr>
          <a:pattFill prst="narVert">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layout/>
          <c:dLblPos val="inEnd"/>
          <c:showLegendKey val="0"/>
          <c:showVal val="1"/>
          <c:showCatName val="0"/>
          <c:showSerName val="1"/>
          <c:showPercent val="0"/>
          <c:showBubbleSize val="0"/>
          <c:extLst>
            <c:ext xmlns:c15="http://schemas.microsoft.com/office/drawing/2012/chart" uri="{CE6537A1-D6FC-4f65-9D91-7224C49458BB}">
              <c15:layout/>
            </c:ext>
          </c:extLst>
        </c:dLbl>
      </c:pivotFmt>
      <c:pivotFmt>
        <c:idx val="65"/>
        <c:spPr>
          <a:pattFill prst="narVert">
            <a:fgClr>
              <a:schemeClr val="accent6"/>
            </a:fgClr>
            <a:bgClr>
              <a:schemeClr val="accent6">
                <a:lumMod val="20000"/>
                <a:lumOff val="80000"/>
              </a:schemeClr>
            </a:bgClr>
          </a:pattFill>
          <a:ln>
            <a:noFill/>
          </a:ln>
          <a:effectLst>
            <a:innerShdw blurRad="114300">
              <a:schemeClr val="accent6"/>
            </a:innerShdw>
          </a:effectLst>
        </c:spPr>
      </c:pivotFmt>
      <c:pivotFmt>
        <c:idx val="66"/>
        <c:spPr>
          <a:pattFill prst="narVert">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dLblPos val="inEnd"/>
          <c:showLegendKey val="0"/>
          <c:showVal val="1"/>
          <c:showCatName val="0"/>
          <c:showSerName val="1"/>
          <c:showPercent val="0"/>
          <c:showBubbleSize val="0"/>
          <c:extLst>
            <c:ext xmlns:c15="http://schemas.microsoft.com/office/drawing/2012/chart" uri="{CE6537A1-D6FC-4f65-9D91-7224C49458BB}"/>
          </c:extLst>
        </c:dLbl>
      </c:pivotFmt>
      <c:pivotFmt>
        <c:idx val="67"/>
        <c:spPr>
          <a:pattFill prst="narVert">
            <a:fgClr>
              <a:schemeClr val="accent6"/>
            </a:fgClr>
            <a:bgClr>
              <a:schemeClr val="accent6">
                <a:lumMod val="20000"/>
                <a:lumOff val="80000"/>
              </a:schemeClr>
            </a:bgClr>
          </a:pattFill>
          <a:ln>
            <a:noFill/>
          </a:ln>
          <a:effectLst>
            <a:innerShdw blurRad="114300">
              <a:schemeClr val="accent6"/>
            </a:innerShdw>
          </a:effectLst>
        </c:spPr>
      </c:pivotFmt>
      <c:pivotFmt>
        <c:idx val="68"/>
        <c:spPr>
          <a:pattFill prst="narVert">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layout/>
          <c:dLblPos val="inEnd"/>
          <c:showLegendKey val="0"/>
          <c:showVal val="1"/>
          <c:showCatName val="0"/>
          <c:showSerName val="1"/>
          <c:showPercent val="0"/>
          <c:showBubbleSize val="0"/>
          <c:extLst>
            <c:ext xmlns:c15="http://schemas.microsoft.com/office/drawing/2012/chart" uri="{CE6537A1-D6FC-4f65-9D91-7224C49458BB}">
              <c15:layout/>
            </c:ext>
          </c:extLst>
        </c:dLbl>
      </c:pivotFmt>
      <c:pivotFmt>
        <c:idx val="69"/>
        <c:spPr>
          <a:pattFill prst="narVert">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dLblPos val="inEnd"/>
          <c:showLegendKey val="0"/>
          <c:showVal val="1"/>
          <c:showCatName val="0"/>
          <c:showSerName val="1"/>
          <c:showPercent val="0"/>
          <c:showBubbleSize val="0"/>
          <c:extLst>
            <c:ext xmlns:c15="http://schemas.microsoft.com/office/drawing/2012/chart" uri="{CE6537A1-D6FC-4f65-9D91-7224C49458BB}"/>
          </c:extLst>
        </c:dLbl>
      </c:pivotFmt>
      <c:pivotFmt>
        <c:idx val="70"/>
        <c:spPr>
          <a:pattFill prst="narVert">
            <a:fgClr>
              <a:schemeClr val="accent6"/>
            </a:fgClr>
            <a:bgClr>
              <a:schemeClr val="accent6">
                <a:lumMod val="20000"/>
                <a:lumOff val="80000"/>
              </a:schemeClr>
            </a:bgClr>
          </a:pattFill>
          <a:ln>
            <a:noFill/>
          </a:ln>
          <a:effectLst>
            <a:innerShdw blurRad="114300">
              <a:schemeClr val="accent6"/>
            </a:innerShdw>
          </a:effectLst>
        </c:spPr>
      </c:pivotFmt>
      <c:pivotFmt>
        <c:idx val="71"/>
        <c:spPr>
          <a:pattFill prst="narVert">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dLblPos val="inEnd"/>
          <c:showLegendKey val="0"/>
          <c:showVal val="1"/>
          <c:showCatName val="0"/>
          <c:showSerName val="1"/>
          <c:showPercent val="0"/>
          <c:showBubbleSize val="0"/>
          <c:extLst>
            <c:ext xmlns:c15="http://schemas.microsoft.com/office/drawing/2012/chart" uri="{CE6537A1-D6FC-4f65-9D91-7224C49458BB}"/>
          </c:extLst>
        </c:dLbl>
      </c:pivotFmt>
      <c:pivotFmt>
        <c:idx val="72"/>
        <c:spPr>
          <a:pattFill prst="narVert">
            <a:fgClr>
              <a:schemeClr val="accent6"/>
            </a:fgClr>
            <a:bgClr>
              <a:schemeClr val="accent6">
                <a:lumMod val="20000"/>
                <a:lumOff val="80000"/>
              </a:schemeClr>
            </a:bgClr>
          </a:pattFill>
          <a:ln>
            <a:noFill/>
          </a:ln>
          <a:effectLst>
            <a:innerShdw blurRad="114300">
              <a:schemeClr val="accent6"/>
            </a:innerShdw>
          </a:effectLst>
        </c:spPr>
      </c:pivotFmt>
      <c:pivotFmt>
        <c:idx val="73"/>
        <c:spPr>
          <a:pattFill prst="narVert">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layout/>
          <c:dLblPos val="inEnd"/>
          <c:showLegendKey val="0"/>
          <c:showVal val="1"/>
          <c:showCatName val="0"/>
          <c:showSerName val="1"/>
          <c:showPercent val="0"/>
          <c:showBubbleSize val="0"/>
          <c:extLst>
            <c:ext xmlns:c15="http://schemas.microsoft.com/office/drawing/2012/chart" uri="{CE6537A1-D6FC-4f65-9D91-7224C49458BB}">
              <c15:layout/>
            </c:ext>
          </c:extLst>
        </c:dLbl>
      </c:pivotFmt>
      <c:pivotFmt>
        <c:idx val="74"/>
        <c:spPr>
          <a:pattFill prst="narVert">
            <a:fgClr>
              <a:schemeClr val="accent6"/>
            </a:fgClr>
            <a:bgClr>
              <a:schemeClr val="accent6">
                <a:lumMod val="20000"/>
                <a:lumOff val="80000"/>
              </a:schemeClr>
            </a:bgClr>
          </a:pattFill>
          <a:ln>
            <a:noFill/>
          </a:ln>
          <a:effectLst>
            <a:innerShdw blurRad="114300">
              <a:schemeClr val="accent6"/>
            </a:innerShdw>
          </a:effectLst>
        </c:spPr>
      </c:pivotFmt>
      <c:pivotFmt>
        <c:idx val="75"/>
        <c:spPr>
          <a:pattFill prst="narVert">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6"/>
        <c:spPr>
          <a:pattFill prst="narVert">
            <a:fgClr>
              <a:schemeClr val="accent6"/>
            </a:fgClr>
            <a:bgClr>
              <a:schemeClr val="accent6">
                <a:lumMod val="20000"/>
                <a:lumOff val="80000"/>
              </a:schemeClr>
            </a:bgClr>
          </a:pattFill>
          <a:ln>
            <a:noFill/>
          </a:ln>
          <a:effectLst>
            <a:innerShdw blurRad="114300">
              <a:schemeClr val="accent6"/>
            </a:innerShdw>
          </a:effectLst>
        </c:spPr>
      </c:pivotFmt>
      <c:pivotFmt>
        <c:idx val="77"/>
        <c:spPr>
          <a:pattFill prst="narVert">
            <a:fgClr>
              <a:schemeClr val="accent6"/>
            </a:fgClr>
            <a:bgClr>
              <a:schemeClr val="accent6">
                <a:lumMod val="20000"/>
                <a:lumOff val="80000"/>
              </a:schemeClr>
            </a:bgClr>
          </a:pattFill>
          <a:ln>
            <a:noFill/>
          </a:ln>
          <a:effectLst>
            <a:innerShdw blurRad="114300">
              <a:schemeClr val="accent6"/>
            </a:innerShdw>
          </a:effectLst>
        </c:spPr>
      </c:pivotFmt>
      <c:pivotFmt>
        <c:idx val="78"/>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0125534541251642E-2"/>
          <c:y val="0.24880465056682152"/>
          <c:w val="0.91181588267283098"/>
          <c:h val="0.66554830965114009"/>
        </c:manualLayout>
      </c:layout>
      <c:barChart>
        <c:barDir val="bar"/>
        <c:grouping val="clustered"/>
        <c:varyColors val="0"/>
        <c:ser>
          <c:idx val="0"/>
          <c:order val="0"/>
          <c:tx>
            <c:strRef>
              <c:f>Sheet2!$C$86</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Sheet2!$B$87:$B$95</c:f>
              <c:strCache>
                <c:ptCount val="8"/>
                <c:pt idx="0">
                  <c:v>Customer Support</c:v>
                </c:pt>
                <c:pt idx="1">
                  <c:v>Finance</c:v>
                </c:pt>
                <c:pt idx="2">
                  <c:v>Human Resources</c:v>
                </c:pt>
                <c:pt idx="3">
                  <c:v>Legal</c:v>
                </c:pt>
                <c:pt idx="4">
                  <c:v>Marketing</c:v>
                </c:pt>
                <c:pt idx="5">
                  <c:v>Operations</c:v>
                </c:pt>
                <c:pt idx="6">
                  <c:v>Sales</c:v>
                </c:pt>
                <c:pt idx="7">
                  <c:v>Technology</c:v>
                </c:pt>
              </c:strCache>
            </c:strRef>
          </c:cat>
          <c:val>
            <c:numRef>
              <c:f>Sheet2!$C$87:$C$95</c:f>
              <c:numCache>
                <c:formatCode>General</c:formatCode>
                <c:ptCount val="8"/>
                <c:pt idx="0">
                  <c:v>26</c:v>
                </c:pt>
                <c:pt idx="1">
                  <c:v>21</c:v>
                </c:pt>
                <c:pt idx="2">
                  <c:v>11</c:v>
                </c:pt>
                <c:pt idx="3">
                  <c:v>4</c:v>
                </c:pt>
                <c:pt idx="4">
                  <c:v>23</c:v>
                </c:pt>
                <c:pt idx="5">
                  <c:v>44</c:v>
                </c:pt>
                <c:pt idx="6">
                  <c:v>60</c:v>
                </c:pt>
                <c:pt idx="7">
                  <c:v>45</c:v>
                </c:pt>
              </c:numCache>
            </c:numRef>
          </c:val>
        </c:ser>
        <c:dLbls>
          <c:dLblPos val="outEnd"/>
          <c:showLegendKey val="0"/>
          <c:showVal val="1"/>
          <c:showCatName val="0"/>
          <c:showSerName val="0"/>
          <c:showPercent val="0"/>
          <c:showBubbleSize val="0"/>
        </c:dLbls>
        <c:gapWidth val="227"/>
        <c:overlap val="-48"/>
        <c:axId val="498723784"/>
        <c:axId val="498724568"/>
      </c:barChart>
      <c:catAx>
        <c:axId val="4987237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498724568"/>
        <c:crosses val="autoZero"/>
        <c:auto val="1"/>
        <c:lblAlgn val="ctr"/>
        <c:lblOffset val="100"/>
        <c:noMultiLvlLbl val="0"/>
      </c:catAx>
      <c:valAx>
        <c:axId val="498724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8723784"/>
        <c:crosses val="autoZero"/>
        <c:crossBetween val="between"/>
      </c:valAx>
      <c:spPr>
        <a:noFill/>
        <a:ln>
          <a:noFill/>
        </a:ln>
        <a:effectLst/>
      </c:spPr>
    </c:plotArea>
    <c:plotVisOnly val="1"/>
    <c:dispBlanksAs val="gap"/>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HR.xlsx]Sheet2!years wise attrition</c:name>
    <c:fmtId val="13"/>
  </c:pivotSource>
  <c:chart>
    <c:title>
      <c:tx>
        <c:rich>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rPr>
              <a:t>EXPERIENCE WISE ATTRITION</a:t>
            </a:r>
          </a:p>
        </c:rich>
      </c:tx>
      <c:layout/>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layout/>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86125862174205E-2"/>
          <c:y val="0.23351839114990142"/>
          <c:w val="0.83737131700390488"/>
          <c:h val="0.69239092754915066"/>
        </c:manualLayout>
      </c:layout>
      <c:areaChart>
        <c:grouping val="standard"/>
        <c:varyColors val="0"/>
        <c:ser>
          <c:idx val="0"/>
          <c:order val="0"/>
          <c:tx>
            <c:strRef>
              <c:f>Sheet2!$B$23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Sheet2!$A$24:$A$29</c:f>
              <c:strCache>
                <c:ptCount val="5"/>
                <c:pt idx="0">
                  <c:v>0–1 years</c:v>
                </c:pt>
                <c:pt idx="1">
                  <c:v>1–3 years</c:v>
                </c:pt>
                <c:pt idx="2">
                  <c:v>3–5 years</c:v>
                </c:pt>
                <c:pt idx="3">
                  <c:v>5–10 years</c:v>
                </c:pt>
                <c:pt idx="4">
                  <c:v>10+ years</c:v>
                </c:pt>
              </c:strCache>
            </c:strRef>
          </c:cat>
          <c:val>
            <c:numRef>
              <c:f>Sheet2!$B$24:$B$29</c:f>
              <c:numCache>
                <c:formatCode>General</c:formatCode>
                <c:ptCount val="5"/>
                <c:pt idx="0">
                  <c:v>81</c:v>
                </c:pt>
                <c:pt idx="1">
                  <c:v>50</c:v>
                </c:pt>
                <c:pt idx="2">
                  <c:v>33</c:v>
                </c:pt>
                <c:pt idx="3">
                  <c:v>37</c:v>
                </c:pt>
                <c:pt idx="4">
                  <c:v>33</c:v>
                </c:pt>
              </c:numCache>
            </c:numRef>
          </c:val>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98723000"/>
        <c:axId val="498724960"/>
      </c:areaChart>
      <c:catAx>
        <c:axId val="498723000"/>
        <c:scaling>
          <c:orientation val="minMax"/>
        </c:scaling>
        <c:delete val="0"/>
        <c:axPos val="b"/>
        <c:numFmt formatCode="General" sourceLinked="1"/>
        <c:majorTickMark val="none"/>
        <c:minorTickMark val="none"/>
        <c:tickLblPos val="nextTo"/>
        <c:spPr>
          <a:noFill/>
          <a:ln w="12700" cap="flat" cmpd="sng" algn="ctr">
            <a:solidFill>
              <a:schemeClr val="accent1"/>
            </a:solidFill>
            <a:prstDash val="solid"/>
            <a:miter lim="800000"/>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98724960"/>
        <c:crosses val="autoZero"/>
        <c:auto val="1"/>
        <c:lblAlgn val="ctr"/>
        <c:lblOffset val="100"/>
        <c:noMultiLvlLbl val="0"/>
      </c:catAx>
      <c:valAx>
        <c:axId val="498724960"/>
        <c:scaling>
          <c:orientation val="minMax"/>
        </c:scaling>
        <c:delete val="1"/>
        <c:axPos val="l"/>
        <c:numFmt formatCode="General" sourceLinked="1"/>
        <c:majorTickMark val="out"/>
        <c:minorTickMark val="none"/>
        <c:tickLblPos val="nextTo"/>
        <c:crossAx val="498723000"/>
        <c:crosses val="autoZero"/>
        <c:crossBetween val="midCat"/>
      </c:valAx>
      <c:spPr>
        <a:solidFill>
          <a:schemeClr val="bg2">
            <a:lumMod val="50000"/>
          </a:schemeClr>
        </a:solidFill>
        <a:ln>
          <a:noFill/>
        </a:ln>
        <a:effectLst/>
      </c:spPr>
    </c:plotArea>
    <c:plotVisOnly val="1"/>
    <c:dispBlanksAs val="zero"/>
    <c:showDLblsOverMax val="0"/>
  </c:chart>
  <c:spPr>
    <a:solidFill>
      <a:schemeClr val="bg2">
        <a:lumMod val="50000"/>
      </a:schemeClr>
    </a:solidFill>
    <a:ln w="9525" cap="flat" cmpd="sng" algn="ctr">
      <a:solidFill>
        <a:srgbClr val="08080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HR.xlsx]Sheet2!salary wise attrition</c:name>
    <c:fmtId val="28"/>
  </c:pivotSource>
  <c:chart>
    <c:title>
      <c:tx>
        <c:rich>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rPr>
              <a:t>SALARY WISE ATTRITION</a:t>
            </a:r>
          </a:p>
        </c:rich>
      </c:tx>
      <c:layout/>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25400" cap="flat" cmpd="sng" algn="ctr">
            <a:solidFill>
              <a:schemeClr val="accent1"/>
            </a:solidFill>
            <a:miter lim="800000"/>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Sheet2!$K$14</c:f>
              <c:strCache>
                <c:ptCount val="1"/>
                <c:pt idx="0">
                  <c:v>Total</c:v>
                </c:pt>
              </c:strCache>
            </c:strRef>
          </c:tx>
          <c:spPr>
            <a:solidFill>
              <a:schemeClr val="accent5">
                <a:lumMod val="60000"/>
                <a:lumOff val="40000"/>
              </a:schemeClr>
            </a:solid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Sheet2!$J$15:$J$21</c:f>
              <c:multiLvlStrCache>
                <c:ptCount val="5"/>
                <c:lvl>
                  <c:pt idx="0">
                    <c:v>100k+</c:v>
                  </c:pt>
                  <c:pt idx="1">
                    <c:v>30k–50k</c:v>
                  </c:pt>
                  <c:pt idx="2">
                    <c:v>50k–75k</c:v>
                  </c:pt>
                  <c:pt idx="3">
                    <c:v>75k–100k</c:v>
                  </c:pt>
                  <c:pt idx="4">
                    <c:v>Below 30k</c:v>
                  </c:pt>
                </c:lvl>
                <c:lvl>
                  <c:pt idx="0">
                    <c:v>Yes</c:v>
                  </c:pt>
                </c:lvl>
              </c:multiLvlStrCache>
            </c:multiLvlStrRef>
          </c:cat>
          <c:val>
            <c:numRef>
              <c:f>Sheet2!$K$15:$K$21</c:f>
              <c:numCache>
                <c:formatCode>General</c:formatCode>
                <c:ptCount val="5"/>
                <c:pt idx="0">
                  <c:v>21</c:v>
                </c:pt>
                <c:pt idx="1">
                  <c:v>64</c:v>
                </c:pt>
                <c:pt idx="2">
                  <c:v>50</c:v>
                </c:pt>
                <c:pt idx="3">
                  <c:v>38</c:v>
                </c:pt>
                <c:pt idx="4">
                  <c:v>61</c:v>
                </c:pt>
              </c:numCache>
            </c:numRef>
          </c:val>
        </c:ser>
        <c:dLbls>
          <c:dLblPos val="outEnd"/>
          <c:showLegendKey val="0"/>
          <c:showVal val="1"/>
          <c:showCatName val="0"/>
          <c:showSerName val="0"/>
          <c:showPercent val="0"/>
          <c:showBubbleSize val="0"/>
        </c:dLbls>
        <c:gapWidth val="227"/>
        <c:overlap val="-48"/>
        <c:axId val="498722216"/>
        <c:axId val="498715160"/>
      </c:barChart>
      <c:catAx>
        <c:axId val="4987222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498715160"/>
        <c:crosses val="autoZero"/>
        <c:auto val="1"/>
        <c:lblAlgn val="ctr"/>
        <c:lblOffset val="100"/>
        <c:noMultiLvlLbl val="0"/>
      </c:catAx>
      <c:valAx>
        <c:axId val="498715160"/>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8722216"/>
        <c:crosses val="autoZero"/>
        <c:crossBetween val="between"/>
      </c:valAx>
      <c:spPr>
        <a:noFill/>
        <a:ln>
          <a:noFill/>
        </a:ln>
        <a:effectLst/>
      </c:spPr>
    </c:plotArea>
    <c:plotVisOnly val="1"/>
    <c:dispBlanksAs val="gap"/>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HR.xlsx]Sheet2!city wise attrition</c:name>
    <c:fmtId val="44"/>
  </c:pivotSource>
  <c:chart>
    <c:title>
      <c:tx>
        <c:rich>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rPr>
              <a:t>CITY WISE ATTRITION</a:t>
            </a:r>
          </a:p>
        </c:rich>
      </c:tx>
      <c:layout/>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Sheet2!$H$3</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Sheet2!$G$4:$G$12</c:f>
              <c:strCache>
                <c:ptCount val="8"/>
                <c:pt idx="0">
                  <c:v>Bengaluru</c:v>
                </c:pt>
                <c:pt idx="1">
                  <c:v>Chennai</c:v>
                </c:pt>
                <c:pt idx="2">
                  <c:v>Coimbatore</c:v>
                </c:pt>
                <c:pt idx="3">
                  <c:v>Delhi</c:v>
                </c:pt>
                <c:pt idx="4">
                  <c:v>Hyderabad</c:v>
                </c:pt>
                <c:pt idx="5">
                  <c:v>Kochi</c:v>
                </c:pt>
                <c:pt idx="6">
                  <c:v>Mumbai</c:v>
                </c:pt>
                <c:pt idx="7">
                  <c:v>Pune</c:v>
                </c:pt>
              </c:strCache>
            </c:strRef>
          </c:cat>
          <c:val>
            <c:numRef>
              <c:f>Sheet2!$H$4:$H$12</c:f>
              <c:numCache>
                <c:formatCode>General</c:formatCode>
                <c:ptCount val="8"/>
                <c:pt idx="0">
                  <c:v>22</c:v>
                </c:pt>
                <c:pt idx="1">
                  <c:v>33</c:v>
                </c:pt>
                <c:pt idx="2">
                  <c:v>35</c:v>
                </c:pt>
                <c:pt idx="3">
                  <c:v>19</c:v>
                </c:pt>
                <c:pt idx="4">
                  <c:v>32</c:v>
                </c:pt>
                <c:pt idx="5">
                  <c:v>33</c:v>
                </c:pt>
                <c:pt idx="6">
                  <c:v>28</c:v>
                </c:pt>
                <c:pt idx="7">
                  <c:v>32</c:v>
                </c:pt>
              </c:numCache>
            </c:numRef>
          </c:val>
        </c:ser>
        <c:dLbls>
          <c:dLblPos val="outEnd"/>
          <c:showLegendKey val="0"/>
          <c:showVal val="1"/>
          <c:showCatName val="0"/>
          <c:showSerName val="0"/>
          <c:showPercent val="0"/>
          <c:showBubbleSize val="0"/>
        </c:dLbls>
        <c:gapWidth val="219"/>
        <c:overlap val="-27"/>
        <c:axId val="498725352"/>
        <c:axId val="498721432"/>
      </c:barChart>
      <c:catAx>
        <c:axId val="498725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8721432"/>
        <c:crosses val="autoZero"/>
        <c:auto val="1"/>
        <c:lblAlgn val="ctr"/>
        <c:lblOffset val="100"/>
        <c:noMultiLvlLbl val="0"/>
      </c:catAx>
      <c:valAx>
        <c:axId val="498721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080808"/>
                </a:solidFill>
                <a:latin typeface="+mn-lt"/>
                <a:ea typeface="+mn-ea"/>
                <a:cs typeface="+mn-cs"/>
              </a:defRPr>
            </a:pPr>
            <a:endParaRPr lang="en-US"/>
          </a:p>
        </c:txPr>
        <c:crossAx val="498725352"/>
        <c:crosses val="autoZero"/>
        <c:crossBetween val="between"/>
      </c:valAx>
      <c:spPr>
        <a:noFill/>
        <a:ln>
          <a:noFill/>
        </a:ln>
        <a:effectLst/>
      </c:spPr>
    </c:plotArea>
    <c:plotVisOnly val="1"/>
    <c:dispBlanksAs val="gap"/>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HR.xlsx]Sheet2!hiring wisee attrition</c:name>
    <c:fmtId val="87"/>
  </c:pivotSource>
  <c:chart>
    <c:title>
      <c:tx>
        <c:rich>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rPr>
              <a:t>HIRING WISE ATTRITION</a:t>
            </a:r>
          </a:p>
        </c:rich>
      </c:tx>
      <c:layout>
        <c:manualLayout>
          <c:xMode val="edge"/>
          <c:yMode val="edge"/>
          <c:x val="1.6501650165016514E-2"/>
          <c:y val="1.9680234923119239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80808"/>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pieChart>
        <c:varyColors val="1"/>
        <c:ser>
          <c:idx val="0"/>
          <c:order val="0"/>
          <c:tx>
            <c:strRef>
              <c:f>Sheet2!$E$23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80808"/>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Sheet2!$D$24:$D$36</c:f>
              <c:multiLvlStrCache>
                <c:ptCount val="6"/>
                <c:lvl>
                  <c:pt idx="0">
                    <c:v>Yes</c:v>
                  </c:pt>
                  <c:pt idx="1">
                    <c:v>Yes</c:v>
                  </c:pt>
                  <c:pt idx="2">
                    <c:v>Yes</c:v>
                  </c:pt>
                  <c:pt idx="3">
                    <c:v>Yes</c:v>
                  </c:pt>
                  <c:pt idx="4">
                    <c:v>Yes</c:v>
                  </c:pt>
                  <c:pt idx="5">
                    <c:v>Yes</c:v>
                  </c:pt>
                </c:lvl>
                <c:lvl>
                  <c:pt idx="0">
                    <c:v>Campus Hiring</c:v>
                  </c:pt>
                  <c:pt idx="1">
                    <c:v>Company Website</c:v>
                  </c:pt>
                  <c:pt idx="2">
                    <c:v>Employee Referral</c:v>
                  </c:pt>
                  <c:pt idx="3">
                    <c:v>Job Portal</c:v>
                  </c:pt>
                  <c:pt idx="4">
                    <c:v>LinkedIn</c:v>
                  </c:pt>
                  <c:pt idx="5">
                    <c:v>Recruitment Agency</c:v>
                  </c:pt>
                </c:lvl>
              </c:multiLvlStrCache>
            </c:multiLvlStrRef>
          </c:cat>
          <c:val>
            <c:numRef>
              <c:f>Sheet2!$E$24:$E$36</c:f>
              <c:numCache>
                <c:formatCode>General</c:formatCode>
                <c:ptCount val="6"/>
                <c:pt idx="0">
                  <c:v>33</c:v>
                </c:pt>
                <c:pt idx="1">
                  <c:v>45</c:v>
                </c:pt>
                <c:pt idx="2">
                  <c:v>39</c:v>
                </c:pt>
                <c:pt idx="3">
                  <c:v>40</c:v>
                </c:pt>
                <c:pt idx="4">
                  <c:v>65</c:v>
                </c:pt>
                <c:pt idx="5">
                  <c:v>12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17191011523884"/>
          <c:y val="0.14139655217362698"/>
          <c:w val="0.32875410331776145"/>
          <c:h val="0.8191622971218731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HR.xlsx]Sheet2!year wise resignation</c:name>
    <c:fmtId val="16"/>
  </c:pivotSource>
  <c:chart>
    <c:title>
      <c:tx>
        <c:rich>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rPr>
              <a:t>YEAR WISE ATTRITIONl</a:t>
            </a:r>
          </a:p>
        </c:rich>
      </c:tx>
      <c:layout/>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80808"/>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Sheet2!$B$41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80808"/>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Sheet2!$A$42:$A$53</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Sheet2!$B$42:$B$53</c:f>
              <c:numCache>
                <c:formatCode>General</c:formatCode>
                <c:ptCount val="11"/>
                <c:pt idx="0">
                  <c:v>9</c:v>
                </c:pt>
                <c:pt idx="1">
                  <c:v>9</c:v>
                </c:pt>
                <c:pt idx="2">
                  <c:v>11</c:v>
                </c:pt>
                <c:pt idx="3">
                  <c:v>12</c:v>
                </c:pt>
                <c:pt idx="4">
                  <c:v>12</c:v>
                </c:pt>
                <c:pt idx="5">
                  <c:v>15</c:v>
                </c:pt>
                <c:pt idx="6">
                  <c:v>19</c:v>
                </c:pt>
                <c:pt idx="7">
                  <c:v>21</c:v>
                </c:pt>
                <c:pt idx="8">
                  <c:v>27</c:v>
                </c:pt>
                <c:pt idx="9">
                  <c:v>43</c:v>
                </c:pt>
                <c:pt idx="10">
                  <c:v>56</c:v>
                </c:pt>
              </c:numCache>
            </c:numRef>
          </c:val>
          <c:smooth val="0"/>
        </c:ser>
        <c:dLbls>
          <c:showLegendKey val="0"/>
          <c:showVal val="0"/>
          <c:showCatName val="0"/>
          <c:showSerName val="0"/>
          <c:showPercent val="0"/>
          <c:showBubbleSize val="0"/>
        </c:dLbls>
        <c:smooth val="0"/>
        <c:axId val="498714768"/>
        <c:axId val="498715552"/>
      </c:lineChart>
      <c:catAx>
        <c:axId val="498714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80808"/>
                </a:solidFill>
                <a:latin typeface="+mn-lt"/>
                <a:ea typeface="+mn-ea"/>
                <a:cs typeface="+mn-cs"/>
              </a:defRPr>
            </a:pPr>
            <a:endParaRPr lang="en-US"/>
          </a:p>
        </c:txPr>
        <c:crossAx val="498715552"/>
        <c:crosses val="autoZero"/>
        <c:auto val="1"/>
        <c:lblAlgn val="ctr"/>
        <c:lblOffset val="100"/>
        <c:noMultiLvlLbl val="0"/>
      </c:catAx>
      <c:valAx>
        <c:axId val="4987155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80808"/>
                </a:solidFill>
                <a:latin typeface="+mn-lt"/>
                <a:ea typeface="+mn-ea"/>
                <a:cs typeface="+mn-cs"/>
              </a:defRPr>
            </a:pPr>
            <a:endParaRPr lang="en-US"/>
          </a:p>
        </c:txPr>
        <c:crossAx val="498714768"/>
        <c:crosses val="autoZero"/>
        <c:crossBetween val="between"/>
      </c:valAx>
      <c:spPr>
        <a:noFill/>
        <a:ln>
          <a:noFill/>
        </a:ln>
        <a:effectLst/>
      </c:spPr>
    </c:plotArea>
    <c:plotVisOnly val="1"/>
    <c:dispBlanksAs val="gap"/>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HR.xlsx]Sheet2!gender wise malle &amp; female</c:name>
    <c:fmtId val="73"/>
  </c:pivotSource>
  <c:chart>
    <c:title>
      <c:tx>
        <c:rich>
          <a:bodyPr rot="0" spcFirstLastPara="1" vertOverflow="ellipsis" vert="horz" wrap="square" anchor="ctr" anchorCtr="1"/>
          <a:lstStyle/>
          <a:p>
            <a:pPr>
              <a:defRPr lang="en-US" sz="192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GENDER WISE ATTRITION</a:t>
            </a:r>
          </a:p>
        </c:rich>
      </c:tx>
      <c:layout/>
      <c:overlay val="0"/>
      <c:spPr>
        <a:noFill/>
        <a:ln>
          <a:noFill/>
        </a:ln>
        <a:effectLst/>
      </c:spPr>
      <c:txPr>
        <a:bodyPr rot="0" spcFirstLastPara="1" vertOverflow="ellipsis" vert="horz" wrap="square" anchor="ctr" anchorCtr="1"/>
        <a:lstStyle/>
        <a:p>
          <a:pPr>
            <a:defRPr lang="en-US" sz="192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Sheet2!$K$2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Sheet2!$J$3:$J$6</c:f>
              <c:multiLvlStrCache>
                <c:ptCount val="2"/>
                <c:lvl>
                  <c:pt idx="0">
                    <c:v>Female</c:v>
                  </c:pt>
                  <c:pt idx="1">
                    <c:v>Male</c:v>
                  </c:pt>
                </c:lvl>
                <c:lvl>
                  <c:pt idx="0">
                    <c:v>Yes</c:v>
                  </c:pt>
                </c:lvl>
              </c:multiLvlStrCache>
            </c:multiLvlStrRef>
          </c:cat>
          <c:val>
            <c:numRef>
              <c:f>Sheet2!$K$3:$K$6</c:f>
              <c:numCache>
                <c:formatCode>General</c:formatCode>
                <c:ptCount val="2"/>
                <c:pt idx="0">
                  <c:v>109</c:v>
                </c:pt>
                <c:pt idx="1">
                  <c:v>125</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lgn="ctr" rtl="0">
        <a:defRPr lang="en-US"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161924</xdr:rowOff>
    </xdr:from>
    <xdr:to>
      <xdr:col>23</xdr:col>
      <xdr:colOff>83128</xdr:colOff>
      <xdr:row>56</xdr:row>
      <xdr:rowOff>64942</xdr:rowOff>
    </xdr:to>
    <xdr:sp macro="" textlink="">
      <xdr:nvSpPr>
        <xdr:cNvPr id="2" name="Rectangle 1"/>
        <xdr:cNvSpPr/>
      </xdr:nvSpPr>
      <xdr:spPr>
        <a:xfrm>
          <a:off x="1385455" y="161924"/>
          <a:ext cx="14630400" cy="9601200"/>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19049</xdr:colOff>
      <xdr:row>1</xdr:row>
      <xdr:rowOff>7792</xdr:rowOff>
    </xdr:from>
    <xdr:to>
      <xdr:col>19</xdr:col>
      <xdr:colOff>65878</xdr:colOff>
      <xdr:row>3</xdr:row>
      <xdr:rowOff>164349</xdr:rowOff>
    </xdr:to>
    <xdr:sp macro="" textlink="">
      <xdr:nvSpPr>
        <xdr:cNvPr id="3" name="Rectangle 2"/>
        <xdr:cNvSpPr/>
      </xdr:nvSpPr>
      <xdr:spPr>
        <a:xfrm>
          <a:off x="1404504" y="180974"/>
          <a:ext cx="11823192" cy="502920"/>
        </a:xfrm>
        <a:prstGeom prst="rect">
          <a:avLst/>
        </a:prstGeom>
        <a:solidFill>
          <a:schemeClr val="bg2">
            <a:lumMod val="50000"/>
          </a:schemeClr>
        </a:solidFill>
        <a:ln>
          <a:solidFill>
            <a:srgbClr val="08080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HR ATTRITION</a:t>
          </a:r>
          <a:r>
            <a:rPr lang="en-US" sz="3200" b="1" baseline="0"/>
            <a:t> DASHBOARD</a:t>
          </a:r>
          <a:endParaRPr lang="en-US" sz="3200" b="1"/>
        </a:p>
      </xdr:txBody>
    </xdr:sp>
    <xdr:clientData/>
  </xdr:twoCellAnchor>
  <xdr:twoCellAnchor>
    <xdr:from>
      <xdr:col>2</xdr:col>
      <xdr:colOff>264101</xdr:colOff>
      <xdr:row>4</xdr:row>
      <xdr:rowOff>72737</xdr:rowOff>
    </xdr:from>
    <xdr:to>
      <xdr:col>5</xdr:col>
      <xdr:colOff>417056</xdr:colOff>
      <xdr:row>9</xdr:row>
      <xdr:rowOff>29788</xdr:rowOff>
    </xdr:to>
    <xdr:sp macro="" textlink="">
      <xdr:nvSpPr>
        <xdr:cNvPr id="5" name="Rectangle 4"/>
        <xdr:cNvSpPr/>
      </xdr:nvSpPr>
      <xdr:spPr>
        <a:xfrm>
          <a:off x="1634772" y="816152"/>
          <a:ext cx="2208961" cy="886319"/>
        </a:xfrm>
        <a:prstGeom prst="rect">
          <a:avLst/>
        </a:prstGeom>
        <a:solidFill>
          <a:schemeClr val="bg2">
            <a:lumMod val="50000"/>
          </a:schemeClr>
        </a:solidFill>
        <a:ln>
          <a:solidFill>
            <a:srgbClr val="08080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a:t>
          </a:r>
          <a:r>
            <a:rPr lang="en-US" sz="1600" b="1" baseline="0"/>
            <a:t> EMPLOYEES</a:t>
          </a:r>
          <a:endParaRPr lang="en-US" sz="1600" b="1"/>
        </a:p>
      </xdr:txBody>
    </xdr:sp>
    <xdr:clientData/>
  </xdr:twoCellAnchor>
  <xdr:twoCellAnchor>
    <xdr:from>
      <xdr:col>5</xdr:col>
      <xdr:colOff>591849</xdr:colOff>
      <xdr:row>4</xdr:row>
      <xdr:rowOff>72737</xdr:rowOff>
    </xdr:from>
    <xdr:to>
      <xdr:col>9</xdr:col>
      <xdr:colOff>52076</xdr:colOff>
      <xdr:row>9</xdr:row>
      <xdr:rowOff>29788</xdr:rowOff>
    </xdr:to>
    <xdr:sp macro="" textlink="">
      <xdr:nvSpPr>
        <xdr:cNvPr id="6" name="Rectangle 5"/>
        <xdr:cNvSpPr/>
      </xdr:nvSpPr>
      <xdr:spPr>
        <a:xfrm>
          <a:off x="4055485" y="765464"/>
          <a:ext cx="2231136" cy="822960"/>
        </a:xfrm>
        <a:prstGeom prst="rect">
          <a:avLst/>
        </a:prstGeom>
        <a:solidFill>
          <a:schemeClr val="bg2">
            <a:lumMod val="50000"/>
          </a:schemeClr>
        </a:solidFill>
        <a:ln>
          <a:solidFill>
            <a:srgbClr val="08080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lt1"/>
              </a:solidFill>
              <a:latin typeface="+mn-lt"/>
              <a:ea typeface="+mn-ea"/>
              <a:cs typeface="+mn-cs"/>
            </a:rPr>
            <a:t>TOTAL</a:t>
          </a:r>
          <a:r>
            <a:rPr lang="en-US" sz="1100"/>
            <a:t> </a:t>
          </a:r>
          <a:r>
            <a:rPr lang="en-US" sz="1600" b="1" baseline="0">
              <a:solidFill>
                <a:schemeClr val="lt1"/>
              </a:solidFill>
              <a:latin typeface="+mn-lt"/>
              <a:ea typeface="+mn-ea"/>
              <a:cs typeface="+mn-cs"/>
            </a:rPr>
            <a:t>ATTRITION</a:t>
          </a:r>
        </a:p>
      </xdr:txBody>
    </xdr:sp>
    <xdr:clientData/>
  </xdr:twoCellAnchor>
  <xdr:twoCellAnchor>
    <xdr:from>
      <xdr:col>12</xdr:col>
      <xdr:colOff>554616</xdr:colOff>
      <xdr:row>4</xdr:row>
      <xdr:rowOff>72737</xdr:rowOff>
    </xdr:from>
    <xdr:to>
      <xdr:col>16</xdr:col>
      <xdr:colOff>14843</xdr:colOff>
      <xdr:row>9</xdr:row>
      <xdr:rowOff>29788</xdr:rowOff>
    </xdr:to>
    <xdr:sp macro="" textlink="">
      <xdr:nvSpPr>
        <xdr:cNvPr id="7" name="Rectangle 6"/>
        <xdr:cNvSpPr/>
      </xdr:nvSpPr>
      <xdr:spPr>
        <a:xfrm>
          <a:off x="8867343" y="765464"/>
          <a:ext cx="2231136" cy="822960"/>
        </a:xfrm>
        <a:prstGeom prst="rect">
          <a:avLst/>
        </a:prstGeom>
        <a:solidFill>
          <a:schemeClr val="bg2">
            <a:lumMod val="50000"/>
          </a:schemeClr>
        </a:solidFill>
        <a:ln>
          <a:solidFill>
            <a:srgbClr val="08080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lt1"/>
              </a:solidFill>
              <a:latin typeface="+mn-lt"/>
              <a:ea typeface="+mn-ea"/>
              <a:cs typeface="+mn-cs"/>
            </a:rPr>
            <a:t>ATTRITION</a:t>
          </a:r>
          <a:r>
            <a:rPr lang="en-US" sz="1100"/>
            <a:t> </a:t>
          </a:r>
          <a:r>
            <a:rPr lang="en-US" sz="1600" b="1" baseline="0">
              <a:solidFill>
                <a:schemeClr val="lt1"/>
              </a:solidFill>
              <a:latin typeface="+mn-lt"/>
              <a:ea typeface="+mn-ea"/>
              <a:cs typeface="+mn-cs"/>
            </a:rPr>
            <a:t>RATE</a:t>
          </a:r>
        </a:p>
      </xdr:txBody>
    </xdr:sp>
    <xdr:clientData/>
  </xdr:twoCellAnchor>
  <xdr:twoCellAnchor>
    <xdr:from>
      <xdr:col>16</xdr:col>
      <xdr:colOff>189634</xdr:colOff>
      <xdr:row>4</xdr:row>
      <xdr:rowOff>72737</xdr:rowOff>
    </xdr:from>
    <xdr:to>
      <xdr:col>19</xdr:col>
      <xdr:colOff>342588</xdr:colOff>
      <xdr:row>9</xdr:row>
      <xdr:rowOff>29788</xdr:rowOff>
    </xdr:to>
    <xdr:sp macro="" textlink="">
      <xdr:nvSpPr>
        <xdr:cNvPr id="8" name="Rectangle 7"/>
        <xdr:cNvSpPr/>
      </xdr:nvSpPr>
      <xdr:spPr>
        <a:xfrm>
          <a:off x="11273270" y="765464"/>
          <a:ext cx="2231136" cy="822960"/>
        </a:xfrm>
        <a:prstGeom prst="rect">
          <a:avLst/>
        </a:prstGeom>
        <a:solidFill>
          <a:schemeClr val="bg2">
            <a:lumMod val="50000"/>
          </a:schemeClr>
        </a:solidFill>
        <a:ln>
          <a:solidFill>
            <a:srgbClr val="08080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lt1"/>
              </a:solidFill>
              <a:latin typeface="+mn-lt"/>
              <a:ea typeface="+mn-ea"/>
              <a:cs typeface="+mn-cs"/>
            </a:rPr>
            <a:t>AVERAGE</a:t>
          </a:r>
          <a:r>
            <a:rPr lang="en-US" sz="1100"/>
            <a:t> </a:t>
          </a:r>
          <a:r>
            <a:rPr lang="en-US" sz="1600" b="1" baseline="0">
              <a:solidFill>
                <a:schemeClr val="lt1"/>
              </a:solidFill>
              <a:latin typeface="+mn-lt"/>
              <a:ea typeface="+mn-ea"/>
              <a:cs typeface="+mn-cs"/>
            </a:rPr>
            <a:t>SALARY</a:t>
          </a:r>
        </a:p>
      </xdr:txBody>
    </xdr:sp>
    <xdr:clientData/>
  </xdr:twoCellAnchor>
  <xdr:twoCellAnchor>
    <xdr:from>
      <xdr:col>9</xdr:col>
      <xdr:colOff>226869</xdr:colOff>
      <xdr:row>4</xdr:row>
      <xdr:rowOff>72737</xdr:rowOff>
    </xdr:from>
    <xdr:to>
      <xdr:col>12</xdr:col>
      <xdr:colOff>379823</xdr:colOff>
      <xdr:row>9</xdr:row>
      <xdr:rowOff>29788</xdr:rowOff>
    </xdr:to>
    <xdr:sp macro="" textlink="">
      <xdr:nvSpPr>
        <xdr:cNvPr id="9" name="Rectangle 8"/>
        <xdr:cNvSpPr/>
      </xdr:nvSpPr>
      <xdr:spPr>
        <a:xfrm>
          <a:off x="6461414" y="765464"/>
          <a:ext cx="2231136" cy="822960"/>
        </a:xfrm>
        <a:prstGeom prst="rect">
          <a:avLst/>
        </a:prstGeom>
        <a:solidFill>
          <a:schemeClr val="bg2">
            <a:lumMod val="50000"/>
          </a:schemeClr>
        </a:solidFill>
        <a:ln>
          <a:solidFill>
            <a:srgbClr val="08080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lt1"/>
              </a:solidFill>
              <a:latin typeface="+mn-lt"/>
              <a:ea typeface="+mn-ea"/>
              <a:cs typeface="+mn-cs"/>
            </a:rPr>
            <a:t>ACTIVE EMPLOYEES</a:t>
          </a:r>
        </a:p>
      </xdr:txBody>
    </xdr:sp>
    <xdr:clientData/>
  </xdr:twoCellAnchor>
  <xdr:twoCellAnchor>
    <xdr:from>
      <xdr:col>4</xdr:col>
      <xdr:colOff>609599</xdr:colOff>
      <xdr:row>9</xdr:row>
      <xdr:rowOff>114299</xdr:rowOff>
    </xdr:from>
    <xdr:to>
      <xdr:col>9</xdr:col>
      <xdr:colOff>472439</xdr:colOff>
      <xdr:row>19</xdr:row>
      <xdr:rowOff>133349</xdr:rowOff>
    </xdr:to>
    <xdr:sp macro="" textlink="">
      <xdr:nvSpPr>
        <xdr:cNvPr id="10" name="Rectangle 9"/>
        <xdr:cNvSpPr/>
      </xdr:nvSpPr>
      <xdr:spPr>
        <a:xfrm>
          <a:off x="3352799" y="1743074"/>
          <a:ext cx="3291840" cy="1828800"/>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426568</xdr:colOff>
      <xdr:row>14</xdr:row>
      <xdr:rowOff>164430</xdr:rowOff>
    </xdr:from>
    <xdr:to>
      <xdr:col>34</xdr:col>
      <xdr:colOff>106528</xdr:colOff>
      <xdr:row>24</xdr:row>
      <xdr:rowOff>183480</xdr:rowOff>
    </xdr:to>
    <xdr:sp macro="" textlink="">
      <xdr:nvSpPr>
        <xdr:cNvPr id="11" name="Rectangle 10"/>
        <xdr:cNvSpPr/>
      </xdr:nvSpPr>
      <xdr:spPr>
        <a:xfrm>
          <a:off x="20295384" y="2737851"/>
          <a:ext cx="3105618" cy="185720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561974</xdr:colOff>
      <xdr:row>9</xdr:row>
      <xdr:rowOff>114299</xdr:rowOff>
    </xdr:from>
    <xdr:to>
      <xdr:col>19</xdr:col>
      <xdr:colOff>424814</xdr:colOff>
      <xdr:row>19</xdr:row>
      <xdr:rowOff>133349</xdr:rowOff>
    </xdr:to>
    <xdr:sp macro="" textlink="">
      <xdr:nvSpPr>
        <xdr:cNvPr id="12" name="Rectangle 11"/>
        <xdr:cNvSpPr/>
      </xdr:nvSpPr>
      <xdr:spPr>
        <a:xfrm>
          <a:off x="10163174" y="1743074"/>
          <a:ext cx="3291840" cy="1828800"/>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637741</xdr:colOff>
      <xdr:row>9</xdr:row>
      <xdr:rowOff>142159</xdr:rowOff>
    </xdr:from>
    <xdr:to>
      <xdr:col>13</xdr:col>
      <xdr:colOff>294425</xdr:colOff>
      <xdr:row>23</xdr:row>
      <xdr:rowOff>121226</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478847</xdr:colOff>
      <xdr:row>9</xdr:row>
      <xdr:rowOff>136889</xdr:rowOff>
    </xdr:from>
    <xdr:to>
      <xdr:col>19</xdr:col>
      <xdr:colOff>135532</xdr:colOff>
      <xdr:row>23</xdr:row>
      <xdr:rowOff>126497</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21646</xdr:colOff>
      <xdr:row>42</xdr:row>
      <xdr:rowOff>21648</xdr:rowOff>
    </xdr:from>
    <xdr:to>
      <xdr:col>7</xdr:col>
      <xdr:colOff>497897</xdr:colOff>
      <xdr:row>55</xdr:row>
      <xdr:rowOff>129886</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443840</xdr:colOff>
      <xdr:row>42</xdr:row>
      <xdr:rowOff>21315</xdr:rowOff>
    </xdr:from>
    <xdr:to>
      <xdr:col>19</xdr:col>
      <xdr:colOff>202177</xdr:colOff>
      <xdr:row>56</xdr:row>
      <xdr:rowOff>5059</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103908</xdr:colOff>
      <xdr:row>9</xdr:row>
      <xdr:rowOff>122612</xdr:rowOff>
    </xdr:from>
    <xdr:to>
      <xdr:col>7</xdr:col>
      <xdr:colOff>453320</xdr:colOff>
      <xdr:row>23</xdr:row>
      <xdr:rowOff>121226</xdr:rowOff>
    </xdr:to>
    <xdr:sp macro="" textlink="">
      <xdr:nvSpPr>
        <xdr:cNvPr id="27" name="Rectangle 26"/>
        <xdr:cNvSpPr/>
      </xdr:nvSpPr>
      <xdr:spPr>
        <a:xfrm>
          <a:off x="1489363" y="1681248"/>
          <a:ext cx="3813048" cy="2423160"/>
        </a:xfrm>
        <a:prstGeom prst="rect">
          <a:avLst/>
        </a:prstGeom>
        <a:ln>
          <a:solidFill>
            <a:srgbClr val="08080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554392</xdr:colOff>
      <xdr:row>6</xdr:row>
      <xdr:rowOff>64943</xdr:rowOff>
    </xdr:from>
    <xdr:to>
      <xdr:col>4</xdr:col>
      <xdr:colOff>576040</xdr:colOff>
      <xdr:row>8</xdr:row>
      <xdr:rowOff>151534</xdr:rowOff>
    </xdr:to>
    <xdr:sp macro="" textlink="Sheet2!A5">
      <xdr:nvSpPr>
        <xdr:cNvPr id="47" name="TextBox 46"/>
        <xdr:cNvSpPr txBox="1"/>
      </xdr:nvSpPr>
      <xdr:spPr>
        <a:xfrm>
          <a:off x="1925063" y="1180065"/>
          <a:ext cx="1392318" cy="458298"/>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41B658-5ACE-42A9-B025-520206DF6176}" type="TxLink">
            <a:rPr lang="en-US" sz="2400" b="1" i="0" u="none" strike="noStrike">
              <a:solidFill>
                <a:srgbClr val="000000"/>
              </a:solidFill>
              <a:latin typeface="Aptos Narrow"/>
              <a:ea typeface="+mn-ea"/>
              <a:cs typeface="+mn-cs"/>
            </a:rPr>
            <a:pPr marL="0" indent="0"/>
            <a:t>1000</a:t>
          </a:fld>
          <a:endParaRPr lang="en-US" sz="2400" b="1" i="0" u="none" strike="noStrike">
            <a:solidFill>
              <a:srgbClr val="000000"/>
            </a:solidFill>
            <a:latin typeface="Aptos Narrow"/>
            <a:ea typeface="+mn-ea"/>
            <a:cs typeface="+mn-cs"/>
          </a:endParaRPr>
        </a:p>
      </xdr:txBody>
    </xdr:sp>
    <xdr:clientData/>
  </xdr:twoCellAnchor>
  <xdr:twoCellAnchor editAs="oneCell">
    <xdr:from>
      <xdr:col>19</xdr:col>
      <xdr:colOff>454602</xdr:colOff>
      <xdr:row>4</xdr:row>
      <xdr:rowOff>86591</xdr:rowOff>
    </xdr:from>
    <xdr:to>
      <xdr:col>23</xdr:col>
      <xdr:colOff>0</xdr:colOff>
      <xdr:row>23</xdr:row>
      <xdr:rowOff>21648</xdr:rowOff>
    </xdr:to>
    <mc:AlternateContent xmlns:mc="http://schemas.openxmlformats.org/markup-compatibility/2006" xmlns:a14="http://schemas.microsoft.com/office/drawing/2010/main">
      <mc:Choice Requires="a14">
        <xdr:graphicFrame macro="">
          <xdr:nvGraphicFramePr>
            <xdr:cNvPr id="48"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616420" y="779318"/>
              <a:ext cx="2316307" cy="3225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432956</xdr:colOff>
      <xdr:row>23</xdr:row>
      <xdr:rowOff>152399</xdr:rowOff>
    </xdr:from>
    <xdr:to>
      <xdr:col>22</xdr:col>
      <xdr:colOff>671080</xdr:colOff>
      <xdr:row>38</xdr:row>
      <xdr:rowOff>78797</xdr:rowOff>
    </xdr:to>
    <mc:AlternateContent xmlns:mc="http://schemas.openxmlformats.org/markup-compatibility/2006" xmlns:a14="http://schemas.microsoft.com/office/drawing/2010/main">
      <mc:Choice Requires="a14">
        <xdr:graphicFrame macro="">
          <xdr:nvGraphicFramePr>
            <xdr:cNvPr id="49"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747173" y="413558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432955</xdr:colOff>
      <xdr:row>40</xdr:row>
      <xdr:rowOff>153265</xdr:rowOff>
    </xdr:from>
    <xdr:to>
      <xdr:col>22</xdr:col>
      <xdr:colOff>671080</xdr:colOff>
      <xdr:row>55</xdr:row>
      <xdr:rowOff>79663</xdr:rowOff>
    </xdr:to>
    <mc:AlternateContent xmlns:mc="http://schemas.openxmlformats.org/markup-compatibility/2006" xmlns:a14="http://schemas.microsoft.com/office/drawing/2010/main">
      <mc:Choice Requires="a14">
        <xdr:graphicFrame macro="">
          <xdr:nvGraphicFramePr>
            <xdr:cNvPr id="5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704744" y="708053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21648</xdr:colOff>
      <xdr:row>6</xdr:row>
      <xdr:rowOff>64943</xdr:rowOff>
    </xdr:from>
    <xdr:to>
      <xdr:col>7</xdr:col>
      <xdr:colOff>649432</xdr:colOff>
      <xdr:row>8</xdr:row>
      <xdr:rowOff>129886</xdr:rowOff>
    </xdr:to>
    <xdr:sp macro="" textlink="Sheet2!K7">
      <xdr:nvSpPr>
        <xdr:cNvPr id="51" name="TextBox 50"/>
        <xdr:cNvSpPr txBox="1"/>
      </xdr:nvSpPr>
      <xdr:spPr>
        <a:xfrm>
          <a:off x="4178012" y="1104034"/>
          <a:ext cx="1320511" cy="411307"/>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AF9CFF-237B-4ADE-9DE4-F8C348864CA1}" type="TxLink">
            <a:rPr lang="en-US" sz="2400" b="1" i="0" u="none" strike="noStrike">
              <a:solidFill>
                <a:srgbClr val="000000"/>
              </a:solidFill>
              <a:latin typeface="Aptos Narrow"/>
              <a:ea typeface="+mn-ea"/>
              <a:cs typeface="+mn-cs"/>
            </a:rPr>
            <a:pPr marL="0" indent="0"/>
            <a:t>234</a:t>
          </a:fld>
          <a:endParaRPr lang="en-US" sz="2400" b="1" i="0" u="none" strike="noStrike">
            <a:solidFill>
              <a:srgbClr val="000000"/>
            </a:solidFill>
            <a:latin typeface="Aptos Narrow"/>
            <a:ea typeface="+mn-ea"/>
            <a:cs typeface="+mn-cs"/>
          </a:endParaRPr>
        </a:p>
      </xdr:txBody>
    </xdr:sp>
    <xdr:clientData/>
  </xdr:twoCellAnchor>
  <xdr:twoCellAnchor>
    <xdr:from>
      <xdr:col>9</xdr:col>
      <xdr:colOff>593119</xdr:colOff>
      <xdr:row>7</xdr:row>
      <xdr:rowOff>19438</xdr:rowOff>
    </xdr:from>
    <xdr:to>
      <xdr:col>11</xdr:col>
      <xdr:colOff>244776</xdr:colOff>
      <xdr:row>8</xdr:row>
      <xdr:rowOff>165230</xdr:rowOff>
    </xdr:to>
    <xdr:sp macro="" textlink="Sheet2!E13">
      <xdr:nvSpPr>
        <xdr:cNvPr id="52" name="TextBox 51"/>
        <xdr:cNvSpPr txBox="1"/>
      </xdr:nvSpPr>
      <xdr:spPr>
        <a:xfrm>
          <a:off x="6761137" y="1320414"/>
          <a:ext cx="1022328" cy="33164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0794160-ABB1-4909-9F2D-30262330B1DF}" type="TxLink">
            <a:rPr lang="en-US" sz="2400" b="1" i="0" u="none" strike="noStrike">
              <a:solidFill>
                <a:srgbClr val="000000"/>
              </a:solidFill>
              <a:latin typeface="Aptos Narrow"/>
              <a:ea typeface="+mn-ea"/>
              <a:cs typeface="+mn-cs"/>
            </a:rPr>
            <a:pPr marL="0" indent="0"/>
            <a:t>766</a:t>
          </a:fld>
          <a:endParaRPr lang="en-US" sz="2400" b="1" i="0" u="none" strike="noStrike">
            <a:solidFill>
              <a:srgbClr val="000000"/>
            </a:solidFill>
            <a:latin typeface="Aptos Narrow"/>
            <a:ea typeface="+mn-ea"/>
            <a:cs typeface="+mn-cs"/>
          </a:endParaRPr>
        </a:p>
      </xdr:txBody>
    </xdr:sp>
    <xdr:clientData/>
  </xdr:twoCellAnchor>
  <xdr:twoCellAnchor>
    <xdr:from>
      <xdr:col>16</xdr:col>
      <xdr:colOff>357621</xdr:colOff>
      <xdr:row>6</xdr:row>
      <xdr:rowOff>30308</xdr:rowOff>
    </xdr:from>
    <xdr:to>
      <xdr:col>18</xdr:col>
      <xdr:colOff>292677</xdr:colOff>
      <xdr:row>8</xdr:row>
      <xdr:rowOff>95251</xdr:rowOff>
    </xdr:to>
    <xdr:sp macro="" textlink="">
      <xdr:nvSpPr>
        <xdr:cNvPr id="53" name="TextBox 52"/>
        <xdr:cNvSpPr txBox="1"/>
      </xdr:nvSpPr>
      <xdr:spPr>
        <a:xfrm>
          <a:off x="11441257" y="1069399"/>
          <a:ext cx="1320511" cy="411307"/>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i="0" u="none" strike="noStrike">
              <a:solidFill>
                <a:srgbClr val="000000"/>
              </a:solidFill>
              <a:latin typeface="Aptos Narrow"/>
              <a:ea typeface="+mn-ea"/>
              <a:cs typeface="+mn-cs"/>
            </a:rPr>
            <a:t>60348</a:t>
          </a:r>
        </a:p>
      </xdr:txBody>
    </xdr:sp>
    <xdr:clientData/>
  </xdr:twoCellAnchor>
  <xdr:twoCellAnchor>
    <xdr:from>
      <xdr:col>13</xdr:col>
      <xdr:colOff>55418</xdr:colOff>
      <xdr:row>6</xdr:row>
      <xdr:rowOff>9526</xdr:rowOff>
    </xdr:from>
    <xdr:to>
      <xdr:col>14</xdr:col>
      <xdr:colOff>683202</xdr:colOff>
      <xdr:row>8</xdr:row>
      <xdr:rowOff>74469</xdr:rowOff>
    </xdr:to>
    <xdr:sp macro="" textlink="Sheet2!F6">
      <xdr:nvSpPr>
        <xdr:cNvPr id="54" name="TextBox 53"/>
        <xdr:cNvSpPr txBox="1"/>
      </xdr:nvSpPr>
      <xdr:spPr>
        <a:xfrm>
          <a:off x="9060873" y="1048617"/>
          <a:ext cx="1320511" cy="411307"/>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7CB08B-A34D-4E67-B773-50C664349041}" type="TxLink">
            <a:rPr lang="en-US" sz="2400" b="1" i="0" u="none" strike="noStrike">
              <a:solidFill>
                <a:srgbClr val="000000"/>
              </a:solidFill>
              <a:latin typeface="Aptos Narrow"/>
              <a:ea typeface="+mn-ea"/>
              <a:cs typeface="+mn-cs"/>
            </a:rPr>
            <a:t>23.4</a:t>
          </a:fld>
          <a:endParaRPr lang="en-US" sz="2400" b="1" i="0" u="none" strike="noStrike">
            <a:solidFill>
              <a:srgbClr val="000000"/>
            </a:solidFill>
            <a:latin typeface="Aptos Narrow"/>
            <a:ea typeface="+mn-ea"/>
            <a:cs typeface="+mn-cs"/>
          </a:endParaRPr>
        </a:p>
      </xdr:txBody>
    </xdr:sp>
    <xdr:clientData/>
  </xdr:twoCellAnchor>
  <xdr:twoCellAnchor>
    <xdr:from>
      <xdr:col>19</xdr:col>
      <xdr:colOff>541193</xdr:colOff>
      <xdr:row>1</xdr:row>
      <xdr:rowOff>108238</xdr:rowOff>
    </xdr:from>
    <xdr:to>
      <xdr:col>23</xdr:col>
      <xdr:colOff>21648</xdr:colOff>
      <xdr:row>3</xdr:row>
      <xdr:rowOff>151535</xdr:rowOff>
    </xdr:to>
    <xdr:sp macro="" textlink="">
      <xdr:nvSpPr>
        <xdr:cNvPr id="4" name="TextBox 3"/>
        <xdr:cNvSpPr txBox="1"/>
      </xdr:nvSpPr>
      <xdr:spPr>
        <a:xfrm>
          <a:off x="13703011" y="281420"/>
          <a:ext cx="2251364" cy="38966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FILTER</a:t>
          </a:r>
          <a:r>
            <a:rPr lang="en-US" sz="1800" b="1" baseline="0"/>
            <a:t> PANE</a:t>
          </a:r>
          <a:endParaRPr lang="en-US" sz="1800" b="1"/>
        </a:p>
      </xdr:txBody>
    </xdr:sp>
    <xdr:clientData/>
  </xdr:twoCellAnchor>
  <xdr:twoCellAnchor>
    <xdr:from>
      <xdr:col>2</xdr:col>
      <xdr:colOff>45356</xdr:colOff>
      <xdr:row>24</xdr:row>
      <xdr:rowOff>22677</xdr:rowOff>
    </xdr:from>
    <xdr:to>
      <xdr:col>10</xdr:col>
      <xdr:colOff>390651</xdr:colOff>
      <xdr:row>41</xdr:row>
      <xdr:rowOff>102053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469034</xdr:colOff>
      <xdr:row>24</xdr:row>
      <xdr:rowOff>21649</xdr:rowOff>
    </xdr:from>
    <xdr:to>
      <xdr:col>19</xdr:col>
      <xdr:colOff>108238</xdr:colOff>
      <xdr:row>41</xdr:row>
      <xdr:rowOff>129886</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568158</xdr:colOff>
      <xdr:row>42</xdr:row>
      <xdr:rowOff>33421</xdr:rowOff>
    </xdr:from>
    <xdr:to>
      <xdr:col>13</xdr:col>
      <xdr:colOff>334211</xdr:colOff>
      <xdr:row>56</xdr:row>
      <xdr:rowOff>16711</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127773</xdr:colOff>
      <xdr:row>9</xdr:row>
      <xdr:rowOff>92927</xdr:rowOff>
    </xdr:from>
    <xdr:to>
      <xdr:col>7</xdr:col>
      <xdr:colOff>441402</xdr:colOff>
      <xdr:row>23</xdr:row>
      <xdr:rowOff>104543</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0.03727</cdr:x>
      <cdr:y>0.45778</cdr:y>
    </cdr:from>
    <cdr:to>
      <cdr:x>0.27329</cdr:x>
      <cdr:y>0.63556</cdr:y>
    </cdr:to>
    <cdr:sp macro="" textlink="">
      <cdr:nvSpPr>
        <cdr:cNvPr id="2" name="TextBox 1"/>
        <cdr:cNvSpPr txBox="1"/>
      </cdr:nvSpPr>
      <cdr:spPr>
        <a:xfrm xmlns:a="http://schemas.openxmlformats.org/drawingml/2006/main">
          <a:off x="139391" y="1196433"/>
          <a:ext cx="882805" cy="4646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rgbClr val="080808"/>
              </a:solidFill>
            </a:rPr>
            <a:t>MALE</a:t>
          </a:r>
        </a:p>
      </cdr:txBody>
    </cdr:sp>
  </cdr:relSizeAnchor>
  <cdr:relSizeAnchor xmlns:cdr="http://schemas.openxmlformats.org/drawingml/2006/chartDrawing">
    <cdr:from>
      <cdr:x>0.73602</cdr:x>
      <cdr:y>0.48889</cdr:y>
    </cdr:from>
    <cdr:to>
      <cdr:x>0.97516</cdr:x>
      <cdr:y>0.58222</cdr:y>
    </cdr:to>
    <cdr:sp macro="" textlink="">
      <cdr:nvSpPr>
        <cdr:cNvPr id="3" name="TextBox 2"/>
        <cdr:cNvSpPr txBox="1"/>
      </cdr:nvSpPr>
      <cdr:spPr>
        <a:xfrm xmlns:a="http://schemas.openxmlformats.org/drawingml/2006/main">
          <a:off x="2752958" y="1277744"/>
          <a:ext cx="894421" cy="2439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rgbClr val="080808"/>
              </a:solidFill>
            </a:rPr>
            <a:t>FEMALE</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ownloads/HR_Year_Wise_Attrition_Synthetic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thetic Exit Data"/>
      <sheetName val="Year Wise Attrition"/>
    </sheetNames>
    <sheetDataSet>
      <sheetData sheetId="0">
        <row r="2">
          <cell r="A2" t="str">
            <v>EMP0004</v>
          </cell>
          <cell r="B2" t="str">
            <v>Neha Gupta</v>
          </cell>
          <cell r="C2" t="str">
            <v>2022-01-16</v>
          </cell>
          <cell r="D2" t="str">
            <v>2026-09-01</v>
          </cell>
          <cell r="E2">
            <v>2026</v>
          </cell>
        </row>
        <row r="3">
          <cell r="A3" t="str">
            <v>EMP0010</v>
          </cell>
          <cell r="B3" t="str">
            <v>Sanjay Joshi</v>
          </cell>
          <cell r="C3" t="str">
            <v>2024-08-20</v>
          </cell>
          <cell r="D3" t="str">
            <v>2024-12-27</v>
          </cell>
          <cell r="E3">
            <v>2024</v>
          </cell>
        </row>
        <row r="4">
          <cell r="A4" t="str">
            <v>EMP0017</v>
          </cell>
          <cell r="B4" t="str">
            <v>Ananya Menon</v>
          </cell>
          <cell r="C4" t="str">
            <v>2026-07-18</v>
          </cell>
          <cell r="D4" t="str">
            <v>2026-08-23</v>
          </cell>
          <cell r="E4">
            <v>2026</v>
          </cell>
        </row>
        <row r="5">
          <cell r="A5" t="str">
            <v>EMP0020</v>
          </cell>
          <cell r="B5" t="str">
            <v>Suresh Kannan</v>
          </cell>
          <cell r="C5" t="str">
            <v>2022-01-26</v>
          </cell>
          <cell r="D5" t="str">
            <v>2022-08-13</v>
          </cell>
          <cell r="E5">
            <v>2022</v>
          </cell>
        </row>
        <row r="6">
          <cell r="A6" t="str">
            <v>EMP0022</v>
          </cell>
          <cell r="B6" t="str">
            <v>Keerthi Rao</v>
          </cell>
          <cell r="C6" t="str">
            <v>2015-12-01</v>
          </cell>
          <cell r="D6" t="str">
            <v>2023-12-27</v>
          </cell>
          <cell r="E6">
            <v>2023</v>
          </cell>
        </row>
        <row r="7">
          <cell r="A7" t="str">
            <v>EMP0025</v>
          </cell>
          <cell r="B7" t="str">
            <v>Priya Joshi</v>
          </cell>
          <cell r="C7" t="str">
            <v>2026-02-21</v>
          </cell>
          <cell r="D7" t="str">
            <v>2026-03-19</v>
          </cell>
          <cell r="E7">
            <v>2026</v>
          </cell>
        </row>
        <row r="8">
          <cell r="A8" t="str">
            <v>EMP0029</v>
          </cell>
          <cell r="B8" t="str">
            <v>Pooja Jain</v>
          </cell>
          <cell r="C8" t="str">
            <v>2019-04-05</v>
          </cell>
          <cell r="D8" t="str">
            <v>2025-10-03</v>
          </cell>
          <cell r="E8">
            <v>2025</v>
          </cell>
        </row>
        <row r="9">
          <cell r="A9" t="str">
            <v>EMP0042</v>
          </cell>
          <cell r="B9" t="str">
            <v>Vikram Shah</v>
          </cell>
          <cell r="C9" t="str">
            <v>2026-05-22</v>
          </cell>
          <cell r="D9" t="str">
            <v>2026-07-31</v>
          </cell>
          <cell r="E9">
            <v>2026</v>
          </cell>
        </row>
        <row r="10">
          <cell r="A10" t="str">
            <v>EMP0045</v>
          </cell>
          <cell r="B10" t="str">
            <v>Suresh Rao</v>
          </cell>
          <cell r="C10" t="str">
            <v>2024-07-29</v>
          </cell>
          <cell r="D10" t="str">
            <v>2025-03-04</v>
          </cell>
          <cell r="E10">
            <v>2025</v>
          </cell>
        </row>
        <row r="11">
          <cell r="A11" t="str">
            <v>EMP0046</v>
          </cell>
          <cell r="B11" t="str">
            <v>Rahul Singh</v>
          </cell>
          <cell r="C11" t="str">
            <v>2024-10-10</v>
          </cell>
          <cell r="D11" t="str">
            <v>2024-12-01</v>
          </cell>
          <cell r="E11">
            <v>2024</v>
          </cell>
        </row>
        <row r="12">
          <cell r="A12" t="str">
            <v>EMP0054</v>
          </cell>
          <cell r="B12" t="str">
            <v>Rohan Gupta</v>
          </cell>
          <cell r="C12" t="str">
            <v>2025-05-25</v>
          </cell>
          <cell r="D12" t="str">
            <v>2025-10-08</v>
          </cell>
          <cell r="E12">
            <v>2025</v>
          </cell>
        </row>
        <row r="13">
          <cell r="A13" t="str">
            <v>EMP0065</v>
          </cell>
          <cell r="B13" t="str">
            <v>Sana Kumar</v>
          </cell>
          <cell r="C13" t="str">
            <v>2025-08-03</v>
          </cell>
          <cell r="D13" t="str">
            <v>2025-11-15</v>
          </cell>
          <cell r="E13">
            <v>2025</v>
          </cell>
        </row>
        <row r="14">
          <cell r="A14" t="str">
            <v>EMP0072</v>
          </cell>
          <cell r="B14" t="str">
            <v>Divya Menon</v>
          </cell>
          <cell r="C14" t="str">
            <v>2026-03-08</v>
          </cell>
          <cell r="D14" t="str">
            <v>2026-09-21</v>
          </cell>
          <cell r="E14">
            <v>2026</v>
          </cell>
        </row>
        <row r="15">
          <cell r="A15" t="str">
            <v>EMP0076</v>
          </cell>
          <cell r="B15" t="str">
            <v>Kiran Shah</v>
          </cell>
          <cell r="C15" t="str">
            <v>2023-06-11</v>
          </cell>
          <cell r="D15" t="str">
            <v>2023-11-20</v>
          </cell>
          <cell r="E15">
            <v>2023</v>
          </cell>
        </row>
        <row r="16">
          <cell r="A16" t="str">
            <v>EMP0078</v>
          </cell>
          <cell r="B16" t="str">
            <v>Rohan Nair</v>
          </cell>
          <cell r="C16" t="str">
            <v>2021-04-01</v>
          </cell>
          <cell r="D16" t="str">
            <v>2021-12-08</v>
          </cell>
          <cell r="E16">
            <v>2021</v>
          </cell>
        </row>
        <row r="17">
          <cell r="A17" t="str">
            <v>EMP0082</v>
          </cell>
          <cell r="B17" t="str">
            <v>Sana Reddy</v>
          </cell>
          <cell r="C17" t="str">
            <v>2023-11-01</v>
          </cell>
          <cell r="D17" t="str">
            <v>2024-06-01</v>
          </cell>
          <cell r="E17">
            <v>2024</v>
          </cell>
        </row>
        <row r="18">
          <cell r="A18" t="str">
            <v>EMP0083</v>
          </cell>
          <cell r="B18" t="str">
            <v>Suresh Reddy</v>
          </cell>
          <cell r="C18" t="str">
            <v>2014-12-30</v>
          </cell>
          <cell r="D18" t="str">
            <v>2017-12-25</v>
          </cell>
          <cell r="E18">
            <v>2017</v>
          </cell>
        </row>
        <row r="19">
          <cell r="A19" t="str">
            <v>EMP0097</v>
          </cell>
          <cell r="B19" t="str">
            <v>Arjun Shah</v>
          </cell>
          <cell r="C19" t="str">
            <v>2011-04-05</v>
          </cell>
          <cell r="D19" t="str">
            <v>2016-03-25</v>
          </cell>
          <cell r="E19">
            <v>2016</v>
          </cell>
        </row>
        <row r="20">
          <cell r="A20" t="str">
            <v>EMP0110</v>
          </cell>
          <cell r="B20" t="str">
            <v>Rohan Gupta</v>
          </cell>
          <cell r="C20" t="str">
            <v>2021-02-28</v>
          </cell>
          <cell r="D20" t="str">
            <v>2022-10-23</v>
          </cell>
          <cell r="E20">
            <v>2022</v>
          </cell>
        </row>
        <row r="21">
          <cell r="A21" t="str">
            <v>EMP0115</v>
          </cell>
          <cell r="B21" t="str">
            <v>Ishita Kumar</v>
          </cell>
          <cell r="C21" t="str">
            <v>2026-05-30</v>
          </cell>
          <cell r="D21" t="str">
            <v>2026-09-14</v>
          </cell>
          <cell r="E21">
            <v>2026</v>
          </cell>
        </row>
        <row r="22">
          <cell r="A22" t="str">
            <v>EMP0120</v>
          </cell>
          <cell r="B22" t="str">
            <v>Priya Nair</v>
          </cell>
          <cell r="C22" t="str">
            <v>2026-03-30</v>
          </cell>
          <cell r="D22" t="str">
            <v>2026-06-07</v>
          </cell>
          <cell r="E22">
            <v>2026</v>
          </cell>
        </row>
        <row r="23">
          <cell r="A23" t="str">
            <v>EMP0121</v>
          </cell>
          <cell r="B23" t="str">
            <v>Arjun Kumar</v>
          </cell>
          <cell r="C23" t="str">
            <v>2017-04-28</v>
          </cell>
          <cell r="D23" t="str">
            <v>2020-03-13</v>
          </cell>
          <cell r="E23">
            <v>2020</v>
          </cell>
        </row>
        <row r="24">
          <cell r="A24" t="str">
            <v>EMP0127</v>
          </cell>
          <cell r="B24" t="str">
            <v>Aditya Singh</v>
          </cell>
          <cell r="C24" t="str">
            <v>2026-01-02</v>
          </cell>
          <cell r="D24" t="str">
            <v>2026-02-27</v>
          </cell>
          <cell r="E24">
            <v>2026</v>
          </cell>
        </row>
        <row r="25">
          <cell r="A25" t="str">
            <v>EMP0133</v>
          </cell>
          <cell r="B25" t="str">
            <v>Kavya Patel</v>
          </cell>
          <cell r="C25" t="str">
            <v>2021-11-04</v>
          </cell>
          <cell r="D25" t="str">
            <v>2021-12-04</v>
          </cell>
          <cell r="E25">
            <v>2021</v>
          </cell>
        </row>
        <row r="26">
          <cell r="A26" t="str">
            <v>EMP0141</v>
          </cell>
          <cell r="B26" t="str">
            <v>Pooja Singh</v>
          </cell>
          <cell r="C26" t="str">
            <v>2026-06-19</v>
          </cell>
          <cell r="D26" t="str">
            <v>2026-08-27</v>
          </cell>
          <cell r="E26">
            <v>2026</v>
          </cell>
        </row>
        <row r="27">
          <cell r="A27" t="str">
            <v>EMP0145</v>
          </cell>
          <cell r="B27" t="str">
            <v>Ananya Krishnan</v>
          </cell>
          <cell r="C27" t="str">
            <v>2023-06-15</v>
          </cell>
          <cell r="D27" t="str">
            <v>2023-10-03</v>
          </cell>
          <cell r="E27">
            <v>2023</v>
          </cell>
        </row>
        <row r="28">
          <cell r="A28" t="str">
            <v>EMP0147</v>
          </cell>
          <cell r="B28" t="str">
            <v>Rahul Kumar</v>
          </cell>
          <cell r="C28" t="str">
            <v>2018-09-05</v>
          </cell>
          <cell r="D28" t="str">
            <v>2019-12-15</v>
          </cell>
          <cell r="E28">
            <v>2019</v>
          </cell>
        </row>
        <row r="29">
          <cell r="A29" t="str">
            <v>EMP0157</v>
          </cell>
          <cell r="B29" t="str">
            <v>Nisha Gupta</v>
          </cell>
          <cell r="C29" t="str">
            <v>2015-07-07</v>
          </cell>
          <cell r="D29" t="str">
            <v>2018-06-08</v>
          </cell>
          <cell r="E29">
            <v>2018</v>
          </cell>
        </row>
        <row r="30">
          <cell r="A30" t="str">
            <v>EMP0159</v>
          </cell>
          <cell r="B30" t="str">
            <v>Rahul Das</v>
          </cell>
          <cell r="C30" t="str">
            <v>2018-02-11</v>
          </cell>
          <cell r="D30" t="str">
            <v>2020-11-05</v>
          </cell>
          <cell r="E30">
            <v>2020</v>
          </cell>
        </row>
        <row r="31">
          <cell r="A31" t="str">
            <v>EMP0165</v>
          </cell>
          <cell r="B31" t="str">
            <v>Suresh Das</v>
          </cell>
          <cell r="C31" t="str">
            <v>2020-09-01</v>
          </cell>
          <cell r="D31" t="str">
            <v>2022-05-19</v>
          </cell>
          <cell r="E31">
            <v>2022</v>
          </cell>
        </row>
        <row r="32">
          <cell r="A32" t="str">
            <v>EMP0175</v>
          </cell>
          <cell r="B32" t="str">
            <v>Anil Kumar</v>
          </cell>
          <cell r="C32" t="str">
            <v>2025-12-25</v>
          </cell>
          <cell r="D32" t="str">
            <v>2025-12-28</v>
          </cell>
          <cell r="E32">
            <v>2025</v>
          </cell>
        </row>
        <row r="33">
          <cell r="A33" t="str">
            <v>EMP0181</v>
          </cell>
          <cell r="B33" t="str">
            <v>Suresh Kumar</v>
          </cell>
          <cell r="C33" t="str">
            <v>2025-12-25</v>
          </cell>
          <cell r="D33" t="str">
            <v>2025-12-30</v>
          </cell>
          <cell r="E33">
            <v>2025</v>
          </cell>
        </row>
        <row r="34">
          <cell r="A34" t="str">
            <v>EMP0184</v>
          </cell>
          <cell r="B34" t="str">
            <v>Suresh Verma</v>
          </cell>
          <cell r="C34" t="str">
            <v>2023-06-15</v>
          </cell>
          <cell r="D34" t="str">
            <v>2024-07-03</v>
          </cell>
          <cell r="E34">
            <v>2024</v>
          </cell>
        </row>
        <row r="35">
          <cell r="A35" t="str">
            <v>EMP0185</v>
          </cell>
          <cell r="B35" t="str">
            <v>Pooja Joshi</v>
          </cell>
          <cell r="C35" t="str">
            <v>2026-02-04</v>
          </cell>
          <cell r="D35" t="str">
            <v>2026-02-07</v>
          </cell>
          <cell r="E35">
            <v>2026</v>
          </cell>
        </row>
        <row r="36">
          <cell r="A36" t="str">
            <v>EMP0188</v>
          </cell>
          <cell r="B36" t="str">
            <v>Suresh Iyer</v>
          </cell>
          <cell r="C36" t="str">
            <v>2026-03-04</v>
          </cell>
          <cell r="D36" t="str">
            <v>2026-09-12</v>
          </cell>
          <cell r="E36">
            <v>2026</v>
          </cell>
        </row>
        <row r="37">
          <cell r="A37" t="str">
            <v>EMP0191</v>
          </cell>
          <cell r="B37" t="str">
            <v>Rohan Bose</v>
          </cell>
          <cell r="C37" t="str">
            <v>2014-04-09</v>
          </cell>
          <cell r="D37" t="str">
            <v>2019-05-14</v>
          </cell>
          <cell r="E37">
            <v>2019</v>
          </cell>
        </row>
        <row r="38">
          <cell r="A38" t="str">
            <v>EMP0192</v>
          </cell>
          <cell r="B38" t="str">
            <v>Divya Patel</v>
          </cell>
          <cell r="C38" t="str">
            <v>2025-12-28</v>
          </cell>
          <cell r="D38" t="str">
            <v>2025-12-31</v>
          </cell>
          <cell r="E38">
            <v>2025</v>
          </cell>
        </row>
        <row r="39">
          <cell r="A39" t="str">
            <v>EMP0197</v>
          </cell>
          <cell r="B39" t="str">
            <v>Kiran Patel</v>
          </cell>
          <cell r="C39" t="str">
            <v>2011-02-11</v>
          </cell>
          <cell r="D39" t="str">
            <v>2018-10-18</v>
          </cell>
          <cell r="E39">
            <v>2018</v>
          </cell>
        </row>
        <row r="40">
          <cell r="A40" t="str">
            <v>EMP0199</v>
          </cell>
          <cell r="B40" t="str">
            <v>Rahul Gupta</v>
          </cell>
          <cell r="C40" t="str">
            <v>2011-12-02</v>
          </cell>
          <cell r="D40" t="str">
            <v>2017-04-19</v>
          </cell>
          <cell r="E40">
            <v>2017</v>
          </cell>
        </row>
        <row r="41">
          <cell r="A41" t="str">
            <v>EMP0201</v>
          </cell>
          <cell r="B41" t="str">
            <v>Keerthi Kumar</v>
          </cell>
          <cell r="C41" t="str">
            <v>2024-06-26</v>
          </cell>
          <cell r="D41" t="str">
            <v>2024-12-08</v>
          </cell>
          <cell r="E41">
            <v>2024</v>
          </cell>
        </row>
        <row r="42">
          <cell r="A42" t="str">
            <v>EMP0207</v>
          </cell>
          <cell r="B42" t="str">
            <v>Kavya Patel</v>
          </cell>
          <cell r="C42" t="str">
            <v>2026-04-17</v>
          </cell>
          <cell r="D42" t="str">
            <v>2026-07-13</v>
          </cell>
          <cell r="E42">
            <v>2026</v>
          </cell>
        </row>
        <row r="43">
          <cell r="A43" t="str">
            <v>EMP0210</v>
          </cell>
          <cell r="B43" t="str">
            <v>Meera Singh</v>
          </cell>
          <cell r="C43" t="str">
            <v>2025-04-23</v>
          </cell>
          <cell r="D43" t="str">
            <v>2025-08-30</v>
          </cell>
          <cell r="E43">
            <v>2025</v>
          </cell>
        </row>
        <row r="44">
          <cell r="A44" t="str">
            <v>EMP0211</v>
          </cell>
          <cell r="B44" t="str">
            <v>Keerthi Nair</v>
          </cell>
          <cell r="C44" t="str">
            <v>2021-04-27</v>
          </cell>
          <cell r="D44" t="str">
            <v>2021-10-16</v>
          </cell>
          <cell r="E44">
            <v>2021</v>
          </cell>
        </row>
        <row r="45">
          <cell r="A45" t="str">
            <v>EMP0214</v>
          </cell>
          <cell r="B45" t="str">
            <v>Vikram Verma</v>
          </cell>
          <cell r="C45" t="str">
            <v>2022-10-05</v>
          </cell>
          <cell r="D45" t="str">
            <v>2023-12-23</v>
          </cell>
          <cell r="E45">
            <v>2023</v>
          </cell>
        </row>
        <row r="46">
          <cell r="A46" t="str">
            <v>EMP0223</v>
          </cell>
          <cell r="B46" t="str">
            <v>Anil Iyer</v>
          </cell>
          <cell r="C46" t="str">
            <v>2023-06-11</v>
          </cell>
          <cell r="D46" t="str">
            <v>2023-07-26</v>
          </cell>
          <cell r="E46">
            <v>2023</v>
          </cell>
        </row>
        <row r="47">
          <cell r="A47" t="str">
            <v>EMP0224</v>
          </cell>
          <cell r="B47" t="str">
            <v>Suresh Singh</v>
          </cell>
          <cell r="C47" t="str">
            <v>2025-09-16</v>
          </cell>
          <cell r="D47" t="str">
            <v>2025-11-30</v>
          </cell>
          <cell r="E47">
            <v>2025</v>
          </cell>
        </row>
        <row r="48">
          <cell r="A48" t="str">
            <v>EMP0225</v>
          </cell>
          <cell r="B48" t="str">
            <v>Sana Iyer</v>
          </cell>
          <cell r="C48" t="str">
            <v>2024-03-14</v>
          </cell>
          <cell r="D48" t="str">
            <v>2024-10-05</v>
          </cell>
          <cell r="E48">
            <v>2024</v>
          </cell>
        </row>
        <row r="49">
          <cell r="A49" t="str">
            <v>EMP0230</v>
          </cell>
          <cell r="B49" t="str">
            <v>Manoj Nair</v>
          </cell>
          <cell r="C49" t="str">
            <v>2026-03-18</v>
          </cell>
          <cell r="D49" t="str">
            <v>2026-10-10</v>
          </cell>
          <cell r="E49">
            <v>2026</v>
          </cell>
        </row>
        <row r="50">
          <cell r="A50" t="str">
            <v>EMP0234</v>
          </cell>
          <cell r="B50" t="str">
            <v>Manoj Das</v>
          </cell>
          <cell r="C50" t="str">
            <v>2017-11-18</v>
          </cell>
          <cell r="D50" t="str">
            <v>2020-05-13</v>
          </cell>
          <cell r="E50">
            <v>2020</v>
          </cell>
        </row>
        <row r="51">
          <cell r="A51" t="str">
            <v>EMP0236</v>
          </cell>
          <cell r="B51" t="str">
            <v>Priya Iyer</v>
          </cell>
          <cell r="C51" t="str">
            <v>2026-03-13</v>
          </cell>
          <cell r="D51" t="str">
            <v>2026-08-13</v>
          </cell>
          <cell r="E51">
            <v>2026</v>
          </cell>
        </row>
        <row r="52">
          <cell r="A52" t="str">
            <v>EMP0241</v>
          </cell>
          <cell r="B52" t="str">
            <v>Priya Nair</v>
          </cell>
          <cell r="C52" t="str">
            <v>2026-02-26</v>
          </cell>
          <cell r="D52" t="str">
            <v>2026-05-10</v>
          </cell>
          <cell r="E52">
            <v>2026</v>
          </cell>
        </row>
        <row r="53">
          <cell r="A53" t="str">
            <v>EMP0242</v>
          </cell>
          <cell r="B53" t="str">
            <v>Ananya Sharma</v>
          </cell>
          <cell r="C53" t="str">
            <v>2023-11-08</v>
          </cell>
          <cell r="D53" t="str">
            <v>2023-11-13</v>
          </cell>
          <cell r="E53">
            <v>2023</v>
          </cell>
        </row>
        <row r="54">
          <cell r="A54" t="str">
            <v>EMP0246</v>
          </cell>
          <cell r="B54" t="str">
            <v>Ishita Reddy</v>
          </cell>
          <cell r="C54" t="str">
            <v>2012-03-12</v>
          </cell>
          <cell r="D54" t="str">
            <v>2016-10-22</v>
          </cell>
          <cell r="E54">
            <v>2016</v>
          </cell>
        </row>
        <row r="55">
          <cell r="A55" t="str">
            <v>EMP0247</v>
          </cell>
          <cell r="B55" t="str">
            <v>Arjun Krishnan</v>
          </cell>
          <cell r="C55" t="str">
            <v>2025-08-31</v>
          </cell>
          <cell r="D55" t="str">
            <v>2025-09-12</v>
          </cell>
          <cell r="E55">
            <v>2025</v>
          </cell>
        </row>
        <row r="56">
          <cell r="A56" t="str">
            <v>EMP0254</v>
          </cell>
          <cell r="B56" t="str">
            <v>Naveen Joshi</v>
          </cell>
          <cell r="C56" t="str">
            <v>2020-03-21</v>
          </cell>
          <cell r="D56" t="str">
            <v>2022-02-21</v>
          </cell>
          <cell r="E56">
            <v>2022</v>
          </cell>
        </row>
        <row r="57">
          <cell r="A57" t="str">
            <v>EMP0257</v>
          </cell>
          <cell r="B57" t="str">
            <v>Rohan Shah</v>
          </cell>
          <cell r="C57" t="str">
            <v>2025-09-28</v>
          </cell>
          <cell r="D57" t="str">
            <v>2025-10-24</v>
          </cell>
          <cell r="E57">
            <v>2025</v>
          </cell>
        </row>
        <row r="58">
          <cell r="A58" t="str">
            <v>EMP0262</v>
          </cell>
          <cell r="B58" t="str">
            <v>Naveen Kannan</v>
          </cell>
          <cell r="C58" t="str">
            <v>2018-10-23</v>
          </cell>
          <cell r="D58" t="str">
            <v>2019-07-03</v>
          </cell>
          <cell r="E58">
            <v>2019</v>
          </cell>
        </row>
        <row r="59">
          <cell r="A59" t="str">
            <v>EMP0266</v>
          </cell>
          <cell r="B59" t="str">
            <v>Arjun Sharma</v>
          </cell>
          <cell r="C59" t="str">
            <v>2022-05-28</v>
          </cell>
          <cell r="D59" t="str">
            <v>2022-10-08</v>
          </cell>
          <cell r="E59">
            <v>2022</v>
          </cell>
        </row>
        <row r="60">
          <cell r="A60" t="str">
            <v>EMP0268</v>
          </cell>
          <cell r="B60" t="str">
            <v>Aditya Joshi</v>
          </cell>
          <cell r="C60" t="str">
            <v>2026-03-30</v>
          </cell>
          <cell r="D60" t="str">
            <v>2026-09-26</v>
          </cell>
          <cell r="E60">
            <v>2026</v>
          </cell>
        </row>
        <row r="61">
          <cell r="A61" t="str">
            <v>EMP0271</v>
          </cell>
          <cell r="B61" t="str">
            <v>Ishita Kannan</v>
          </cell>
          <cell r="C61" t="str">
            <v>2025-12-08</v>
          </cell>
          <cell r="D61" t="str">
            <v>2025-12-27</v>
          </cell>
          <cell r="E61">
            <v>2025</v>
          </cell>
        </row>
        <row r="62">
          <cell r="A62" t="str">
            <v>EMP0278</v>
          </cell>
          <cell r="B62" t="str">
            <v>Sanjay Bose</v>
          </cell>
          <cell r="C62" t="str">
            <v>2026-02-27</v>
          </cell>
          <cell r="D62" t="str">
            <v>2026-08-31</v>
          </cell>
          <cell r="E62">
            <v>2026</v>
          </cell>
        </row>
        <row r="63">
          <cell r="A63" t="str">
            <v>EMP0283</v>
          </cell>
          <cell r="B63" t="str">
            <v>Naveen Sharma</v>
          </cell>
          <cell r="C63" t="str">
            <v>2026-04-07</v>
          </cell>
          <cell r="D63" t="str">
            <v>2026-08-29</v>
          </cell>
          <cell r="E63">
            <v>2026</v>
          </cell>
        </row>
        <row r="64">
          <cell r="A64" t="str">
            <v>EMP0284</v>
          </cell>
          <cell r="B64" t="str">
            <v>Manoj Nair</v>
          </cell>
          <cell r="C64" t="str">
            <v>2018-11-03</v>
          </cell>
          <cell r="D64" t="str">
            <v>2018-12-04</v>
          </cell>
          <cell r="E64">
            <v>2018</v>
          </cell>
        </row>
        <row r="65">
          <cell r="A65" t="str">
            <v>EMP0285</v>
          </cell>
          <cell r="B65" t="str">
            <v>Aarav Kannan</v>
          </cell>
          <cell r="C65" t="str">
            <v>2022-10-25</v>
          </cell>
          <cell r="D65" t="str">
            <v>2022-12-24</v>
          </cell>
          <cell r="E65">
            <v>2022</v>
          </cell>
        </row>
        <row r="66">
          <cell r="A66" t="str">
            <v>EMP0295</v>
          </cell>
          <cell r="B66" t="str">
            <v>Kiran Gupta</v>
          </cell>
          <cell r="C66" t="str">
            <v>2026-02-17</v>
          </cell>
          <cell r="D66" t="str">
            <v>2026-04-02</v>
          </cell>
          <cell r="E66">
            <v>2026</v>
          </cell>
        </row>
        <row r="67">
          <cell r="A67" t="str">
            <v>EMP0302</v>
          </cell>
          <cell r="B67" t="str">
            <v>Kavya Singh</v>
          </cell>
          <cell r="C67" t="str">
            <v>2014-08-25</v>
          </cell>
          <cell r="D67" t="str">
            <v>2017-01-23</v>
          </cell>
          <cell r="E67">
            <v>2017</v>
          </cell>
        </row>
        <row r="68">
          <cell r="A68" t="str">
            <v>EMP0312</v>
          </cell>
          <cell r="B68" t="str">
            <v>Neha Rao</v>
          </cell>
          <cell r="C68" t="str">
            <v>2026-07-04</v>
          </cell>
          <cell r="D68" t="str">
            <v>2026-09-14</v>
          </cell>
          <cell r="E68">
            <v>2026</v>
          </cell>
        </row>
        <row r="69">
          <cell r="A69" t="str">
            <v>EMP0324</v>
          </cell>
          <cell r="B69" t="str">
            <v>Rahul Menon</v>
          </cell>
          <cell r="C69" t="str">
            <v>2024-07-22</v>
          </cell>
          <cell r="D69" t="str">
            <v>2024-07-29</v>
          </cell>
          <cell r="E69">
            <v>2024</v>
          </cell>
        </row>
        <row r="70">
          <cell r="A70" t="str">
            <v>EMP0335</v>
          </cell>
          <cell r="B70" t="str">
            <v>Neha Shah</v>
          </cell>
          <cell r="C70" t="str">
            <v>2026-06-02</v>
          </cell>
          <cell r="D70" t="str">
            <v>2026-06-26</v>
          </cell>
          <cell r="E70">
            <v>2026</v>
          </cell>
        </row>
        <row r="71">
          <cell r="A71" t="str">
            <v>EMP0338</v>
          </cell>
          <cell r="B71" t="str">
            <v>Ishita Joshi</v>
          </cell>
          <cell r="C71" t="str">
            <v>2023-07-04</v>
          </cell>
          <cell r="D71" t="str">
            <v>2023-12-06</v>
          </cell>
          <cell r="E71">
            <v>2023</v>
          </cell>
        </row>
        <row r="72">
          <cell r="A72" t="str">
            <v>EMP0341</v>
          </cell>
          <cell r="B72" t="str">
            <v>Arjun Kumar</v>
          </cell>
          <cell r="C72" t="str">
            <v>2025-04-02</v>
          </cell>
          <cell r="D72" t="str">
            <v>2025-09-06</v>
          </cell>
          <cell r="E72">
            <v>2025</v>
          </cell>
        </row>
        <row r="73">
          <cell r="A73" t="str">
            <v>EMP0343</v>
          </cell>
          <cell r="B73" t="str">
            <v>Rahul Gupta</v>
          </cell>
          <cell r="C73" t="str">
            <v>2021-01-05</v>
          </cell>
          <cell r="D73" t="str">
            <v>2021-04-08</v>
          </cell>
          <cell r="E73">
            <v>2021</v>
          </cell>
        </row>
        <row r="74">
          <cell r="A74" t="str">
            <v>EMP0348</v>
          </cell>
          <cell r="B74" t="str">
            <v>Arjun Sharma</v>
          </cell>
          <cell r="C74" t="str">
            <v>2022-05-27</v>
          </cell>
          <cell r="D74" t="str">
            <v>2022-06-09</v>
          </cell>
          <cell r="E74">
            <v>2022</v>
          </cell>
        </row>
        <row r="75">
          <cell r="A75" t="str">
            <v>EMP0354</v>
          </cell>
          <cell r="B75" t="str">
            <v>Lakshmi Jain</v>
          </cell>
          <cell r="C75" t="str">
            <v>2026-05-04</v>
          </cell>
          <cell r="D75" t="str">
            <v>2026-08-06</v>
          </cell>
          <cell r="E75">
            <v>2026</v>
          </cell>
        </row>
        <row r="76">
          <cell r="A76" t="str">
            <v>EMP0361</v>
          </cell>
          <cell r="B76" t="str">
            <v>Aisha Jain</v>
          </cell>
          <cell r="C76" t="str">
            <v>2022-03-30</v>
          </cell>
          <cell r="D76" t="str">
            <v>2024-08-04</v>
          </cell>
          <cell r="E76">
            <v>2024</v>
          </cell>
        </row>
        <row r="77">
          <cell r="A77" t="str">
            <v>EMP0371</v>
          </cell>
          <cell r="B77" t="str">
            <v>Rahul Bose</v>
          </cell>
          <cell r="C77" t="str">
            <v>2025-08-28</v>
          </cell>
          <cell r="D77" t="str">
            <v>2025-09-10</v>
          </cell>
          <cell r="E77">
            <v>2025</v>
          </cell>
        </row>
        <row r="78">
          <cell r="A78" t="str">
            <v>EMP0372</v>
          </cell>
          <cell r="B78" t="str">
            <v>Kavya Kannan</v>
          </cell>
          <cell r="C78" t="str">
            <v>2024-07-31</v>
          </cell>
          <cell r="D78" t="str">
            <v>2024-11-03</v>
          </cell>
          <cell r="E78">
            <v>2024</v>
          </cell>
        </row>
        <row r="79">
          <cell r="A79" t="str">
            <v>EMP0377</v>
          </cell>
          <cell r="B79" t="str">
            <v>Nisha Joshi</v>
          </cell>
          <cell r="C79" t="str">
            <v>2025-04-23</v>
          </cell>
          <cell r="D79" t="str">
            <v>2025-05-20</v>
          </cell>
          <cell r="E79">
            <v>2025</v>
          </cell>
        </row>
        <row r="80">
          <cell r="A80" t="str">
            <v>EMP0378</v>
          </cell>
          <cell r="B80" t="str">
            <v>Ishita Nair</v>
          </cell>
          <cell r="C80" t="str">
            <v>2012-08-30</v>
          </cell>
          <cell r="D80" t="str">
            <v>2016-08-14</v>
          </cell>
          <cell r="E80">
            <v>2016</v>
          </cell>
        </row>
        <row r="81">
          <cell r="A81" t="str">
            <v>EMP0382</v>
          </cell>
          <cell r="B81" t="str">
            <v>Manoj Iyer</v>
          </cell>
          <cell r="C81" t="str">
            <v>2025-11-11</v>
          </cell>
          <cell r="D81" t="str">
            <v>2025-12-03</v>
          </cell>
          <cell r="E81">
            <v>2025</v>
          </cell>
        </row>
        <row r="82">
          <cell r="A82" t="str">
            <v>EMP0383</v>
          </cell>
          <cell r="B82" t="str">
            <v>Rahul Verma</v>
          </cell>
          <cell r="C82" t="str">
            <v>2025-10-30</v>
          </cell>
          <cell r="D82" t="str">
            <v>2025-12-12</v>
          </cell>
          <cell r="E82">
            <v>2025</v>
          </cell>
        </row>
        <row r="83">
          <cell r="A83" t="str">
            <v>EMP0385</v>
          </cell>
          <cell r="B83" t="str">
            <v>Priya Jain</v>
          </cell>
          <cell r="C83" t="str">
            <v>2013-01-07</v>
          </cell>
          <cell r="D83" t="str">
            <v>2020-07-21</v>
          </cell>
          <cell r="E83">
            <v>2020</v>
          </cell>
        </row>
        <row r="84">
          <cell r="A84" t="str">
            <v>EMP0388</v>
          </cell>
          <cell r="B84" t="str">
            <v>Keerthi Jain</v>
          </cell>
          <cell r="C84" t="str">
            <v>2024-08-10</v>
          </cell>
          <cell r="D84" t="str">
            <v>2024-11-05</v>
          </cell>
          <cell r="E84">
            <v>2024</v>
          </cell>
        </row>
        <row r="85">
          <cell r="A85" t="str">
            <v>EMP0389</v>
          </cell>
          <cell r="B85" t="str">
            <v>Pooja Gupta</v>
          </cell>
          <cell r="C85" t="str">
            <v>2014-05-19</v>
          </cell>
          <cell r="D85" t="str">
            <v>2019-06-07</v>
          </cell>
          <cell r="E85">
            <v>2019</v>
          </cell>
        </row>
        <row r="86">
          <cell r="A86" t="str">
            <v>EMP0391</v>
          </cell>
          <cell r="B86" t="str">
            <v>Ishita Singh</v>
          </cell>
          <cell r="C86" t="str">
            <v>2019-07-19</v>
          </cell>
          <cell r="D86" t="str">
            <v>2021-06-22</v>
          </cell>
          <cell r="E86">
            <v>2021</v>
          </cell>
        </row>
        <row r="87">
          <cell r="A87" t="str">
            <v>EMP0396</v>
          </cell>
          <cell r="B87" t="str">
            <v>Nisha Bose</v>
          </cell>
          <cell r="C87" t="str">
            <v>2025-12-27</v>
          </cell>
          <cell r="D87" t="str">
            <v>2025-12-31</v>
          </cell>
          <cell r="E87">
            <v>2025</v>
          </cell>
        </row>
        <row r="88">
          <cell r="A88" t="str">
            <v>EMP0397</v>
          </cell>
          <cell r="B88" t="str">
            <v>Keerthi Singh</v>
          </cell>
          <cell r="C88" t="str">
            <v>2019-02-21</v>
          </cell>
          <cell r="D88" t="str">
            <v>2020-10-08</v>
          </cell>
          <cell r="E88">
            <v>2020</v>
          </cell>
        </row>
        <row r="89">
          <cell r="A89" t="str">
            <v>EMP0398</v>
          </cell>
          <cell r="B89" t="str">
            <v>Vikram Jain</v>
          </cell>
          <cell r="C89" t="str">
            <v>2026-06-06</v>
          </cell>
          <cell r="D89" t="str">
            <v>2026-09-06</v>
          </cell>
          <cell r="E89">
            <v>2026</v>
          </cell>
        </row>
        <row r="90">
          <cell r="A90" t="str">
            <v>EMP0399</v>
          </cell>
          <cell r="B90" t="str">
            <v>Divya Rao</v>
          </cell>
          <cell r="C90" t="str">
            <v>2024-11-08</v>
          </cell>
          <cell r="D90" t="str">
            <v>2024-11-18</v>
          </cell>
          <cell r="E90">
            <v>2024</v>
          </cell>
        </row>
        <row r="91">
          <cell r="A91" t="str">
            <v>EMP0400</v>
          </cell>
          <cell r="B91" t="str">
            <v>Suresh Rao</v>
          </cell>
          <cell r="C91" t="str">
            <v>2023-10-23</v>
          </cell>
          <cell r="D91" t="str">
            <v>2023-12-31</v>
          </cell>
          <cell r="E91">
            <v>2023</v>
          </cell>
        </row>
        <row r="92">
          <cell r="A92" t="str">
            <v>EMP0402</v>
          </cell>
          <cell r="B92" t="str">
            <v>Sana Menon</v>
          </cell>
          <cell r="C92" t="str">
            <v>2014-07-11</v>
          </cell>
          <cell r="D92" t="str">
            <v>2018-08-22</v>
          </cell>
          <cell r="E92">
            <v>2018</v>
          </cell>
        </row>
        <row r="93">
          <cell r="A93" t="str">
            <v>EMP0403</v>
          </cell>
          <cell r="B93" t="str">
            <v>Priya  Menon</v>
          </cell>
          <cell r="C93" t="str">
            <v>2015-02-04</v>
          </cell>
          <cell r="D93" t="str">
            <v>2017-05-30</v>
          </cell>
          <cell r="E93">
            <v>2017</v>
          </cell>
        </row>
        <row r="94">
          <cell r="A94" t="str">
            <v>EMP0412</v>
          </cell>
          <cell r="B94" t="str">
            <v>Ananya Singh</v>
          </cell>
          <cell r="C94" t="str">
            <v>2020-02-06</v>
          </cell>
          <cell r="D94" t="str">
            <v>2021-12-13</v>
          </cell>
          <cell r="E94">
            <v>2021</v>
          </cell>
        </row>
        <row r="95">
          <cell r="A95" t="str">
            <v>EMP0413</v>
          </cell>
          <cell r="B95" t="str">
            <v>Manoj Kumar</v>
          </cell>
          <cell r="C95" t="str">
            <v>2026-02-09</v>
          </cell>
          <cell r="D95" t="str">
            <v>2026-02-17</v>
          </cell>
          <cell r="E95">
            <v>2026</v>
          </cell>
        </row>
        <row r="96">
          <cell r="A96" t="str">
            <v>EMP0417</v>
          </cell>
          <cell r="B96" t="str">
            <v>Naveen Iyer</v>
          </cell>
          <cell r="C96" t="str">
            <v>2016-08-20</v>
          </cell>
          <cell r="D96" t="str">
            <v>2016-09-05</v>
          </cell>
          <cell r="E96">
            <v>2016</v>
          </cell>
        </row>
        <row r="97">
          <cell r="A97" t="str">
            <v>EMP0418</v>
          </cell>
          <cell r="B97" t="str">
            <v>Aarav Kannan</v>
          </cell>
          <cell r="C97" t="str">
            <v>2025-09-27</v>
          </cell>
          <cell r="D97" t="str">
            <v>2025-11-15</v>
          </cell>
          <cell r="E97">
            <v>2025</v>
          </cell>
        </row>
        <row r="98">
          <cell r="A98" t="str">
            <v>EMP0421</v>
          </cell>
          <cell r="B98" t="str">
            <v>Divya Das</v>
          </cell>
          <cell r="C98" t="str">
            <v>2019-11-29</v>
          </cell>
          <cell r="D98" t="str">
            <v>2019-12-02</v>
          </cell>
          <cell r="E98">
            <v>2019</v>
          </cell>
        </row>
        <row r="99">
          <cell r="A99" t="str">
            <v>EMP0423</v>
          </cell>
          <cell r="B99" t="str">
            <v>Keerthi Nair</v>
          </cell>
          <cell r="C99" t="str">
            <v>2013-01-17</v>
          </cell>
          <cell r="D99" t="str">
            <v>2018-01-05</v>
          </cell>
          <cell r="E99">
            <v>2018</v>
          </cell>
        </row>
        <row r="100">
          <cell r="A100" t="str">
            <v>EMP0424</v>
          </cell>
          <cell r="B100" t="str">
            <v>Aisha Singh</v>
          </cell>
          <cell r="C100" t="str">
            <v>2026-05-02</v>
          </cell>
          <cell r="D100" t="str">
            <v>2026-08-05</v>
          </cell>
          <cell r="E100">
            <v>2026</v>
          </cell>
        </row>
        <row r="101">
          <cell r="A101" t="str">
            <v>EMP0427</v>
          </cell>
          <cell r="B101" t="str">
            <v>Keerthi Reddy</v>
          </cell>
          <cell r="C101" t="str">
            <v>2026-06-26</v>
          </cell>
          <cell r="D101" t="str">
            <v>2026-10-11</v>
          </cell>
          <cell r="E101">
            <v>2026</v>
          </cell>
        </row>
        <row r="102">
          <cell r="A102" t="str">
            <v>EMP0438</v>
          </cell>
          <cell r="B102" t="str">
            <v>Kiran Rao</v>
          </cell>
          <cell r="C102" t="str">
            <v>2022-05-01</v>
          </cell>
          <cell r="D102" t="str">
            <v>2022-05-07</v>
          </cell>
          <cell r="E102">
            <v>2022</v>
          </cell>
        </row>
        <row r="103">
          <cell r="A103" t="str">
            <v>EMP0443</v>
          </cell>
          <cell r="B103" t="str">
            <v>Kiran Krishnan</v>
          </cell>
          <cell r="C103" t="str">
            <v>2026-08-14</v>
          </cell>
          <cell r="D103" t="str">
            <v>2026-10-08</v>
          </cell>
          <cell r="E103">
            <v>2026</v>
          </cell>
        </row>
        <row r="104">
          <cell r="A104" t="str">
            <v>EMP0449</v>
          </cell>
          <cell r="B104" t="str">
            <v>Divya Rao</v>
          </cell>
          <cell r="C104" t="str">
            <v>2024-03-06</v>
          </cell>
          <cell r="D104" t="str">
            <v>2024-04-03</v>
          </cell>
          <cell r="E104">
            <v>2024</v>
          </cell>
        </row>
        <row r="105">
          <cell r="A105" t="str">
            <v>EMP0456</v>
          </cell>
          <cell r="B105" t="str">
            <v>Kiran Patel</v>
          </cell>
          <cell r="C105" t="str">
            <v>2016-01-24</v>
          </cell>
          <cell r="D105" t="str">
            <v>2017-11-07</v>
          </cell>
          <cell r="E105">
            <v>2017</v>
          </cell>
        </row>
        <row r="106">
          <cell r="A106" t="str">
            <v>EMP0460</v>
          </cell>
          <cell r="B106" t="str">
            <v>Ananya Nair</v>
          </cell>
          <cell r="C106" t="str">
            <v>2026-05-08</v>
          </cell>
          <cell r="D106" t="str">
            <v>2026-05-24</v>
          </cell>
          <cell r="E106">
            <v>2026</v>
          </cell>
        </row>
        <row r="107">
          <cell r="A107" t="str">
            <v>EMP0465</v>
          </cell>
          <cell r="B107" t="str">
            <v>Priya Krishnan</v>
          </cell>
          <cell r="C107" t="str">
            <v>2026-06-06</v>
          </cell>
          <cell r="D107" t="str">
            <v>2026-07-11</v>
          </cell>
          <cell r="E107">
            <v>2026</v>
          </cell>
        </row>
        <row r="108">
          <cell r="A108" t="str">
            <v>EMP0472</v>
          </cell>
          <cell r="B108" t="str">
            <v>Sanjay Verma</v>
          </cell>
          <cell r="C108" t="str">
            <v>2024-11-27</v>
          </cell>
          <cell r="D108" t="str">
            <v>2024-12-04</v>
          </cell>
          <cell r="E108">
            <v>2024</v>
          </cell>
        </row>
        <row r="109">
          <cell r="A109" t="str">
            <v>EMP0478</v>
          </cell>
          <cell r="B109" t="str">
            <v>Nisha Patel</v>
          </cell>
          <cell r="C109" t="str">
            <v>2025-01-07</v>
          </cell>
          <cell r="D109" t="str">
            <v>2025-09-22</v>
          </cell>
          <cell r="E109">
            <v>2025</v>
          </cell>
        </row>
        <row r="110">
          <cell r="A110" t="str">
            <v>EMP0481</v>
          </cell>
          <cell r="B110" t="str">
            <v>Neha Patel</v>
          </cell>
          <cell r="C110" t="str">
            <v>2022-11-06</v>
          </cell>
          <cell r="D110" t="str">
            <v>2023-03-27</v>
          </cell>
          <cell r="E110">
            <v>2023</v>
          </cell>
        </row>
        <row r="111">
          <cell r="A111" t="str">
            <v>EMP0486</v>
          </cell>
          <cell r="B111" t="str">
            <v>Anil Bose</v>
          </cell>
          <cell r="C111" t="str">
            <v>2026-07-25</v>
          </cell>
          <cell r="D111" t="str">
            <v>2026-09-15</v>
          </cell>
          <cell r="E111">
            <v>2026</v>
          </cell>
        </row>
        <row r="112">
          <cell r="A112" t="str">
            <v>EMP0487</v>
          </cell>
          <cell r="B112" t="str">
            <v>Divya Reddy</v>
          </cell>
          <cell r="C112" t="str">
            <v>2024-10-04</v>
          </cell>
          <cell r="D112" t="str">
            <v>2024-11-18</v>
          </cell>
          <cell r="E112">
            <v>2024</v>
          </cell>
        </row>
        <row r="113">
          <cell r="A113" t="str">
            <v>EMP0489</v>
          </cell>
          <cell r="B113" t="str">
            <v>Manoj Iyer</v>
          </cell>
          <cell r="C113" t="str">
            <v>2022-09-11</v>
          </cell>
          <cell r="D113" t="str">
            <v>2022-12-05</v>
          </cell>
          <cell r="E113">
            <v>2022</v>
          </cell>
        </row>
        <row r="114">
          <cell r="A114" t="str">
            <v>EMP0491</v>
          </cell>
          <cell r="B114" t="str">
            <v>Neha Das</v>
          </cell>
          <cell r="C114" t="str">
            <v>2024-10-27</v>
          </cell>
          <cell r="D114" t="str">
            <v>2024-12-29</v>
          </cell>
          <cell r="E114">
            <v>2024</v>
          </cell>
        </row>
        <row r="115">
          <cell r="A115" t="str">
            <v>EMP0494</v>
          </cell>
          <cell r="B115" t="str">
            <v>Ananya Patel</v>
          </cell>
          <cell r="C115" t="str">
            <v>2025-01-12</v>
          </cell>
          <cell r="D115" t="str">
            <v>2025-06-21</v>
          </cell>
          <cell r="E115">
            <v>2025</v>
          </cell>
        </row>
        <row r="116">
          <cell r="A116" t="str">
            <v>EMP0502</v>
          </cell>
          <cell r="B116" t="str">
            <v>Arjun Menon</v>
          </cell>
          <cell r="C116" t="str">
            <v>2023-06-29</v>
          </cell>
          <cell r="D116" t="str">
            <v>2023-08-13</v>
          </cell>
          <cell r="E116">
            <v>2023</v>
          </cell>
        </row>
        <row r="117">
          <cell r="A117" t="str">
            <v>EMP0503</v>
          </cell>
          <cell r="B117" t="str">
            <v>Neha Reddy</v>
          </cell>
          <cell r="C117" t="str">
            <v>2026-03-29</v>
          </cell>
          <cell r="D117" t="str">
            <v>2026-04-29</v>
          </cell>
          <cell r="E117">
            <v>2026</v>
          </cell>
        </row>
        <row r="118">
          <cell r="A118" t="str">
            <v>EMP0507</v>
          </cell>
          <cell r="B118" t="str">
            <v>Divya Rao</v>
          </cell>
          <cell r="C118" t="str">
            <v>2014-10-07</v>
          </cell>
          <cell r="D118" t="str">
            <v>2020-09-11</v>
          </cell>
          <cell r="E118">
            <v>2020</v>
          </cell>
        </row>
        <row r="119">
          <cell r="A119" t="str">
            <v>EMP0512</v>
          </cell>
          <cell r="B119" t="str">
            <v>Ishita Menon</v>
          </cell>
          <cell r="C119" t="str">
            <v>2014-12-04</v>
          </cell>
          <cell r="D119" t="str">
            <v>2016-08-25</v>
          </cell>
          <cell r="E119">
            <v>2016</v>
          </cell>
        </row>
        <row r="120">
          <cell r="A120" t="str">
            <v>EMP0514</v>
          </cell>
          <cell r="B120" t="str">
            <v>Pooja Singh</v>
          </cell>
          <cell r="C120" t="str">
            <v>2026-01-12</v>
          </cell>
          <cell r="D120" t="str">
            <v>2026-10-18</v>
          </cell>
          <cell r="E120">
            <v>2026</v>
          </cell>
        </row>
        <row r="121">
          <cell r="A121" t="str">
            <v>EMP0518</v>
          </cell>
          <cell r="B121" t="str">
            <v>Manoj Das</v>
          </cell>
          <cell r="C121" t="str">
            <v>2023-12-23</v>
          </cell>
          <cell r="D121" t="str">
            <v>2023-12-30</v>
          </cell>
          <cell r="E121">
            <v>2023</v>
          </cell>
        </row>
        <row r="122">
          <cell r="A122" t="str">
            <v>EMP0520</v>
          </cell>
          <cell r="B122" t="str">
            <v>Aditya Singh</v>
          </cell>
          <cell r="C122" t="str">
            <v>2020-10-11</v>
          </cell>
          <cell r="D122" t="str">
            <v>2021-09-28</v>
          </cell>
          <cell r="E122">
            <v>2021</v>
          </cell>
        </row>
        <row r="123">
          <cell r="A123" t="str">
            <v>EMP0523</v>
          </cell>
          <cell r="B123" t="str">
            <v>Vikram Nair</v>
          </cell>
          <cell r="C123" t="str">
            <v>2026-01-26</v>
          </cell>
          <cell r="D123" t="str">
            <v>2026-03-09</v>
          </cell>
          <cell r="E123">
            <v>2026</v>
          </cell>
        </row>
        <row r="124">
          <cell r="A124" t="str">
            <v>EMP0527</v>
          </cell>
          <cell r="B124" t="str">
            <v>Lakshmi Verma</v>
          </cell>
          <cell r="C124" t="str">
            <v>2019-03-28</v>
          </cell>
          <cell r="D124" t="str">
            <v>2019-06-28</v>
          </cell>
          <cell r="E124">
            <v>2019</v>
          </cell>
        </row>
        <row r="125">
          <cell r="A125" t="str">
            <v>EMP0531</v>
          </cell>
          <cell r="B125" t="str">
            <v>Sanjay Shah</v>
          </cell>
          <cell r="C125" t="str">
            <v>2026-02-28</v>
          </cell>
          <cell r="D125" t="str">
            <v>2026-09-30</v>
          </cell>
          <cell r="E125">
            <v>2026</v>
          </cell>
        </row>
        <row r="126">
          <cell r="A126" t="str">
            <v>EMP0539</v>
          </cell>
          <cell r="B126" t="str">
            <v>Vikram Das</v>
          </cell>
          <cell r="C126" t="str">
            <v>2022-08-08</v>
          </cell>
          <cell r="D126" t="str">
            <v>2022-11-12</v>
          </cell>
          <cell r="E126">
            <v>2022</v>
          </cell>
        </row>
        <row r="127">
          <cell r="A127" t="str">
            <v>EMP0546</v>
          </cell>
          <cell r="B127" t="str">
            <v>Lakshmi Rao</v>
          </cell>
          <cell r="C127" t="str">
            <v>2024-05-06</v>
          </cell>
          <cell r="D127" t="str">
            <v>2024-05-25</v>
          </cell>
          <cell r="E127">
            <v>2024</v>
          </cell>
        </row>
        <row r="128">
          <cell r="A128" t="str">
            <v>EMP0547</v>
          </cell>
          <cell r="B128" t="str">
            <v>Nisha Patel</v>
          </cell>
          <cell r="C128" t="str">
            <v>2026-02-19</v>
          </cell>
          <cell r="D128" t="str">
            <v>2026-10-11</v>
          </cell>
          <cell r="E128">
            <v>2026</v>
          </cell>
        </row>
        <row r="129">
          <cell r="A129" t="str">
            <v>EMP0548</v>
          </cell>
          <cell r="B129" t="str">
            <v>Meera Verma</v>
          </cell>
          <cell r="C129" t="str">
            <v>2025-10-16</v>
          </cell>
          <cell r="D129" t="str">
            <v>2025-10-17</v>
          </cell>
          <cell r="E129">
            <v>2025</v>
          </cell>
        </row>
        <row r="130">
          <cell r="A130" t="str">
            <v>EMP0550</v>
          </cell>
          <cell r="B130" t="str">
            <v>Divya Sharma</v>
          </cell>
          <cell r="C130" t="str">
            <v>2011-01-03</v>
          </cell>
          <cell r="D130" t="str">
            <v>2018-09-08</v>
          </cell>
          <cell r="E130">
            <v>2018</v>
          </cell>
        </row>
        <row r="131">
          <cell r="A131" t="str">
            <v>EMP0552</v>
          </cell>
          <cell r="B131" t="str">
            <v>Aisha Das</v>
          </cell>
          <cell r="C131" t="str">
            <v>2025-04-15</v>
          </cell>
          <cell r="D131" t="str">
            <v>2025-07-01</v>
          </cell>
          <cell r="E131">
            <v>2025</v>
          </cell>
        </row>
        <row r="132">
          <cell r="A132" t="str">
            <v>EMP0554</v>
          </cell>
          <cell r="B132" t="str">
            <v>Rahul Singh</v>
          </cell>
          <cell r="C132" t="str">
            <v>2015-01-17</v>
          </cell>
          <cell r="D132" t="str">
            <v>2017-05-24</v>
          </cell>
          <cell r="E132">
            <v>2017</v>
          </cell>
        </row>
        <row r="133">
          <cell r="A133" t="str">
            <v>EMP0562</v>
          </cell>
          <cell r="B133" t="str">
            <v>Keerthi Singh</v>
          </cell>
          <cell r="C133" t="str">
            <v>2025-07-05</v>
          </cell>
          <cell r="D133" t="str">
            <v>2025-10-16</v>
          </cell>
          <cell r="E133">
            <v>2025</v>
          </cell>
        </row>
        <row r="134">
          <cell r="A134" t="str">
            <v>EMP0566</v>
          </cell>
          <cell r="B134" t="str">
            <v>Suresh Patel</v>
          </cell>
          <cell r="C134" t="str">
            <v>2025-09-03</v>
          </cell>
          <cell r="D134" t="str">
            <v>2025-11-29</v>
          </cell>
          <cell r="E134">
            <v>2025</v>
          </cell>
        </row>
        <row r="135">
          <cell r="A135" t="str">
            <v>EMP0574</v>
          </cell>
          <cell r="B135" t="str">
            <v>Sana Bose</v>
          </cell>
          <cell r="C135" t="str">
            <v>2026-05-08</v>
          </cell>
          <cell r="D135" t="str">
            <v>2026-09-23</v>
          </cell>
          <cell r="E135">
            <v>2026</v>
          </cell>
        </row>
        <row r="136">
          <cell r="A136" t="str">
            <v>EMP0587</v>
          </cell>
          <cell r="B136" t="str">
            <v>Aditya Jain</v>
          </cell>
          <cell r="C136" t="str">
            <v>2015-08-16</v>
          </cell>
          <cell r="D136" t="str">
            <v>2020-09-25</v>
          </cell>
          <cell r="E136">
            <v>2020</v>
          </cell>
        </row>
        <row r="137">
          <cell r="A137" t="str">
            <v>EMP0590</v>
          </cell>
          <cell r="B137" t="str">
            <v>Rahul Menon</v>
          </cell>
          <cell r="C137" t="str">
            <v>2017-08-11</v>
          </cell>
          <cell r="D137" t="str">
            <v>2019-02-14</v>
          </cell>
          <cell r="E137">
            <v>2019</v>
          </cell>
        </row>
        <row r="138">
          <cell r="A138" t="str">
            <v>EMP0598</v>
          </cell>
          <cell r="B138" t="str">
            <v>Divya Verma</v>
          </cell>
          <cell r="C138" t="str">
            <v>2024-07-11</v>
          </cell>
          <cell r="D138" t="str">
            <v>2024-08-13</v>
          </cell>
          <cell r="E138">
            <v>2024</v>
          </cell>
        </row>
        <row r="139">
          <cell r="A139" t="str">
            <v>EMP0600</v>
          </cell>
          <cell r="B139" t="str">
            <v>Divya Patel</v>
          </cell>
          <cell r="C139" t="str">
            <v>2025-09-05</v>
          </cell>
          <cell r="D139" t="str">
            <v>2025-10-18</v>
          </cell>
          <cell r="E139">
            <v>2025</v>
          </cell>
        </row>
        <row r="140">
          <cell r="A140" t="str">
            <v>EMP0602</v>
          </cell>
          <cell r="B140" t="str">
            <v>Sanjay Kumar</v>
          </cell>
          <cell r="C140" t="str">
            <v>2016-11-24</v>
          </cell>
          <cell r="D140" t="str">
            <v>2016-12-16</v>
          </cell>
          <cell r="E140">
            <v>2016</v>
          </cell>
        </row>
        <row r="141">
          <cell r="A141" t="str">
            <v>EMP0606</v>
          </cell>
          <cell r="B141" t="str">
            <v>Ishita Nair</v>
          </cell>
          <cell r="C141" t="str">
            <v>2023-06-28</v>
          </cell>
          <cell r="D141" t="str">
            <v>2023-11-16</v>
          </cell>
          <cell r="E141">
            <v>2023</v>
          </cell>
        </row>
        <row r="142">
          <cell r="A142" t="str">
            <v>EMP0609</v>
          </cell>
          <cell r="B142" t="str">
            <v>Rohan Jain</v>
          </cell>
          <cell r="C142" t="str">
            <v>2023-11-26</v>
          </cell>
          <cell r="D142" t="str">
            <v>2023-12-12</v>
          </cell>
          <cell r="E142">
            <v>2023</v>
          </cell>
        </row>
        <row r="143">
          <cell r="A143" t="str">
            <v>EMP0616</v>
          </cell>
          <cell r="B143" t="str">
            <v>Arjun Jain</v>
          </cell>
          <cell r="C143" t="str">
            <v>2021-02-12</v>
          </cell>
          <cell r="D143" t="str">
            <v>2021-04-04</v>
          </cell>
          <cell r="E143">
            <v>2021</v>
          </cell>
        </row>
        <row r="144">
          <cell r="A144" t="str">
            <v>EMP0636</v>
          </cell>
          <cell r="B144" t="str">
            <v>Arjun Joshi</v>
          </cell>
          <cell r="C144" t="str">
            <v>2025-08-28</v>
          </cell>
          <cell r="D144" t="str">
            <v>2025-12-17</v>
          </cell>
          <cell r="E144">
            <v>2025</v>
          </cell>
        </row>
        <row r="145">
          <cell r="A145" t="str">
            <v>EMP0637</v>
          </cell>
          <cell r="B145" t="str">
            <v>Sana Singh</v>
          </cell>
          <cell r="C145" t="str">
            <v>2023-09-21</v>
          </cell>
          <cell r="D145" t="str">
            <v>2023-10-12</v>
          </cell>
          <cell r="E145">
            <v>2023</v>
          </cell>
        </row>
        <row r="146">
          <cell r="A146" t="str">
            <v>EMP0638</v>
          </cell>
          <cell r="B146" t="str">
            <v>Lakshmi Reddy</v>
          </cell>
          <cell r="C146" t="str">
            <v>2019-12-17</v>
          </cell>
          <cell r="D146" t="str">
            <v>2020-06-30</v>
          </cell>
          <cell r="E146">
            <v>2020</v>
          </cell>
        </row>
        <row r="147">
          <cell r="A147" t="str">
            <v>EMP0639</v>
          </cell>
          <cell r="B147" t="str">
            <v>Neha Patel</v>
          </cell>
          <cell r="C147" t="str">
            <v>2023-11-24</v>
          </cell>
          <cell r="D147" t="str">
            <v>2023-12-15</v>
          </cell>
          <cell r="E147">
            <v>2023</v>
          </cell>
        </row>
        <row r="148">
          <cell r="A148" t="str">
            <v>EMP0641</v>
          </cell>
          <cell r="B148" t="str">
            <v>Arjun Kumar</v>
          </cell>
          <cell r="C148" t="str">
            <v>2011-05-12</v>
          </cell>
          <cell r="D148" t="str">
            <v>2018-05-25</v>
          </cell>
          <cell r="E148">
            <v>2018</v>
          </cell>
        </row>
        <row r="149">
          <cell r="A149" t="str">
            <v>EMP0653</v>
          </cell>
          <cell r="B149" t="str">
            <v>Divya Singh</v>
          </cell>
          <cell r="C149" t="str">
            <v>2022-01-22</v>
          </cell>
          <cell r="D149" t="str">
            <v>2022-05-23</v>
          </cell>
          <cell r="E149">
            <v>2022</v>
          </cell>
        </row>
        <row r="150">
          <cell r="A150" t="str">
            <v>EMP0660</v>
          </cell>
          <cell r="B150" t="str">
            <v>Arjun Gupta</v>
          </cell>
          <cell r="C150" t="str">
            <v>2026-04-07</v>
          </cell>
          <cell r="D150" t="str">
            <v>2026-05-09</v>
          </cell>
          <cell r="E150">
            <v>2026</v>
          </cell>
        </row>
        <row r="151">
          <cell r="A151" t="str">
            <v>EMP0663</v>
          </cell>
          <cell r="B151" t="str">
            <v>Keerthi Joshi</v>
          </cell>
          <cell r="C151" t="str">
            <v>2021-01-06</v>
          </cell>
          <cell r="D151" t="str">
            <v>2021-10-09</v>
          </cell>
          <cell r="E151">
            <v>2021</v>
          </cell>
        </row>
        <row r="152">
          <cell r="A152" t="str">
            <v>EMP0667</v>
          </cell>
          <cell r="B152" t="str">
            <v>Aarav Reddy</v>
          </cell>
          <cell r="C152" t="str">
            <v>2017-02-13</v>
          </cell>
          <cell r="D152" t="str">
            <v>2017-04-30</v>
          </cell>
          <cell r="E152">
            <v>2017</v>
          </cell>
        </row>
        <row r="153">
          <cell r="A153" t="str">
            <v>EMP0671</v>
          </cell>
          <cell r="B153" t="str">
            <v>Lakshmi  Rao</v>
          </cell>
          <cell r="C153" t="str">
            <v>2026-04-15</v>
          </cell>
          <cell r="D153" t="str">
            <v>2026-05-15</v>
          </cell>
          <cell r="E153">
            <v>2026</v>
          </cell>
        </row>
        <row r="154">
          <cell r="A154" t="str">
            <v>EMP0674</v>
          </cell>
          <cell r="B154" t="str">
            <v>Nisha Gupta</v>
          </cell>
          <cell r="C154" t="str">
            <v>2025-09-23</v>
          </cell>
          <cell r="D154" t="str">
            <v>2025-12-19</v>
          </cell>
          <cell r="E154">
            <v>2025</v>
          </cell>
        </row>
        <row r="155">
          <cell r="A155" t="str">
            <v>EMP0678</v>
          </cell>
          <cell r="B155" t="str">
            <v>Priya Menon</v>
          </cell>
          <cell r="C155" t="str">
            <v>2016-06-05</v>
          </cell>
          <cell r="D155" t="str">
            <v>2019-01-29</v>
          </cell>
          <cell r="E155">
            <v>2019</v>
          </cell>
        </row>
        <row r="156">
          <cell r="A156" t="str">
            <v>EMP0681</v>
          </cell>
          <cell r="B156" t="str">
            <v>Suresh Krishnan</v>
          </cell>
          <cell r="C156" t="str">
            <v>2025-10-03</v>
          </cell>
          <cell r="D156" t="str">
            <v>2025-12-01</v>
          </cell>
          <cell r="E156">
            <v>2025</v>
          </cell>
        </row>
        <row r="157">
          <cell r="A157" t="str">
            <v>EMP0682</v>
          </cell>
          <cell r="B157" t="str">
            <v>Rahul Reddy</v>
          </cell>
          <cell r="C157" t="str">
            <v>2026-07-09</v>
          </cell>
          <cell r="D157" t="str">
            <v>2026-10-10</v>
          </cell>
          <cell r="E157">
            <v>2026</v>
          </cell>
        </row>
        <row r="158">
          <cell r="A158" t="str">
            <v>EMP0685</v>
          </cell>
          <cell r="B158" t="str">
            <v>Nisha Rao</v>
          </cell>
          <cell r="C158" t="str">
            <v>2025-05-30</v>
          </cell>
          <cell r="D158" t="str">
            <v>2025-06-22</v>
          </cell>
          <cell r="E158">
            <v>2025</v>
          </cell>
        </row>
        <row r="159">
          <cell r="A159" t="str">
            <v>EMP0687</v>
          </cell>
          <cell r="B159" t="str">
            <v>Sana Rao</v>
          </cell>
          <cell r="C159" t="str">
            <v>2024-04-12</v>
          </cell>
          <cell r="D159" t="str">
            <v>2024-11-19</v>
          </cell>
          <cell r="E159">
            <v>2024</v>
          </cell>
        </row>
        <row r="160">
          <cell r="A160" t="str">
            <v>EMP0688</v>
          </cell>
          <cell r="B160" t="str">
            <v>Divya Nair</v>
          </cell>
          <cell r="C160" t="str">
            <v>2010-11-10</v>
          </cell>
          <cell r="D160" t="str">
            <v>2016-11-05</v>
          </cell>
          <cell r="E160">
            <v>2016</v>
          </cell>
        </row>
        <row r="161">
          <cell r="A161" t="str">
            <v>EMP0690</v>
          </cell>
          <cell r="B161" t="str">
            <v>Ishita Joshi</v>
          </cell>
          <cell r="C161" t="str">
            <v>2022-11-18</v>
          </cell>
          <cell r="D161" t="str">
            <v>2022-12-30</v>
          </cell>
          <cell r="E161">
            <v>2022</v>
          </cell>
        </row>
        <row r="162">
          <cell r="A162" t="str">
            <v>EMP0696</v>
          </cell>
          <cell r="B162" t="str">
            <v>Ishita Bose</v>
          </cell>
          <cell r="C162" t="str">
            <v>2025-09-06</v>
          </cell>
          <cell r="D162" t="str">
            <v>2025-10-01</v>
          </cell>
          <cell r="E162">
            <v>2025</v>
          </cell>
        </row>
        <row r="163">
          <cell r="A163" t="str">
            <v>EMP0698</v>
          </cell>
          <cell r="B163" t="str">
            <v>Kiran Kumar</v>
          </cell>
          <cell r="C163" t="str">
            <v>2018-11-15</v>
          </cell>
          <cell r="D163" t="str">
            <v>2018-11-22</v>
          </cell>
          <cell r="E163">
            <v>2018</v>
          </cell>
        </row>
        <row r="164">
          <cell r="A164" t="str">
            <v>EMP0700</v>
          </cell>
          <cell r="B164" t="str">
            <v>Rohan Joshi</v>
          </cell>
          <cell r="C164" t="str">
            <v>2022-03-05</v>
          </cell>
          <cell r="D164" t="str">
            <v>2022-09-28</v>
          </cell>
          <cell r="E164">
            <v>2022</v>
          </cell>
        </row>
        <row r="165">
          <cell r="A165" t="str">
            <v>EMP0711</v>
          </cell>
          <cell r="B165" t="str">
            <v>Keerthi Patel</v>
          </cell>
          <cell r="C165" t="str">
            <v>2026-05-24</v>
          </cell>
          <cell r="D165" t="str">
            <v>2026-08-04</v>
          </cell>
          <cell r="E165">
            <v>2026</v>
          </cell>
        </row>
        <row r="166">
          <cell r="A166" t="str">
            <v>EMP0721</v>
          </cell>
          <cell r="B166" t="str">
            <v>Suresh Kumar</v>
          </cell>
          <cell r="C166" t="str">
            <v>2022-06-18</v>
          </cell>
          <cell r="D166" t="str">
            <v>2022-12-06</v>
          </cell>
          <cell r="E166">
            <v>2022</v>
          </cell>
        </row>
        <row r="167">
          <cell r="A167" t="str">
            <v>EMP0722</v>
          </cell>
          <cell r="B167" t="str">
            <v>Priya Bose</v>
          </cell>
          <cell r="C167" t="str">
            <v>2025-09-16</v>
          </cell>
          <cell r="D167" t="str">
            <v>2025-12-03</v>
          </cell>
          <cell r="E167">
            <v>2025</v>
          </cell>
        </row>
        <row r="168">
          <cell r="A168" t="str">
            <v>EMP0723</v>
          </cell>
          <cell r="B168" t="str">
            <v>Anil Jain</v>
          </cell>
          <cell r="C168" t="str">
            <v>2025-09-05</v>
          </cell>
          <cell r="D168" t="str">
            <v>2025-09-09</v>
          </cell>
          <cell r="E168">
            <v>2025</v>
          </cell>
        </row>
        <row r="169">
          <cell r="A169" t="str">
            <v>EMP0725</v>
          </cell>
          <cell r="B169" t="str">
            <v>Ananya Bose</v>
          </cell>
          <cell r="C169" t="str">
            <v>2026-01-28</v>
          </cell>
          <cell r="D169" t="str">
            <v>2026-02-13</v>
          </cell>
          <cell r="E169">
            <v>2026</v>
          </cell>
        </row>
        <row r="170">
          <cell r="A170" t="str">
            <v>EMP0726</v>
          </cell>
          <cell r="B170" t="str">
            <v>Manoj Jain</v>
          </cell>
          <cell r="C170" t="str">
            <v>2024-06-17</v>
          </cell>
          <cell r="D170" t="str">
            <v>2024-10-29</v>
          </cell>
          <cell r="E170">
            <v>2024</v>
          </cell>
        </row>
        <row r="171">
          <cell r="A171" t="str">
            <v>EMP0727</v>
          </cell>
          <cell r="B171" t="str">
            <v>Kavya Kumar</v>
          </cell>
          <cell r="C171" t="str">
            <v>2026-02-06</v>
          </cell>
          <cell r="D171" t="str">
            <v>2026-03-02</v>
          </cell>
          <cell r="E171">
            <v>2026</v>
          </cell>
        </row>
        <row r="172">
          <cell r="A172" t="str">
            <v>EMP0737</v>
          </cell>
          <cell r="B172" t="str">
            <v>Manoj Reddy</v>
          </cell>
          <cell r="C172" t="str">
            <v>2025-10-24</v>
          </cell>
          <cell r="D172" t="str">
            <v>2025-10-28</v>
          </cell>
          <cell r="E172">
            <v>2025</v>
          </cell>
        </row>
        <row r="173">
          <cell r="A173" t="str">
            <v>EMP0739</v>
          </cell>
          <cell r="B173" t="str">
            <v>Manoj Iyer</v>
          </cell>
          <cell r="C173" t="str">
            <v>2016-06-11</v>
          </cell>
          <cell r="D173" t="str">
            <v>2020-06-21</v>
          </cell>
          <cell r="E173">
            <v>2020</v>
          </cell>
        </row>
        <row r="174">
          <cell r="A174" t="str">
            <v>EMP0743</v>
          </cell>
          <cell r="B174" t="str">
            <v>Lakshmi Nair</v>
          </cell>
          <cell r="C174" t="str">
            <v>2022-02-27</v>
          </cell>
          <cell r="D174" t="str">
            <v>2022-04-13</v>
          </cell>
          <cell r="E174">
            <v>2022</v>
          </cell>
        </row>
        <row r="175">
          <cell r="A175" t="str">
            <v>EMP0745</v>
          </cell>
          <cell r="B175" t="str">
            <v>Arjun Patel</v>
          </cell>
          <cell r="C175" t="str">
            <v>2012-11-14</v>
          </cell>
          <cell r="D175" t="str">
            <v>2017-01-21</v>
          </cell>
          <cell r="E175">
            <v>2017</v>
          </cell>
        </row>
        <row r="176">
          <cell r="A176" t="str">
            <v>EMP0746</v>
          </cell>
          <cell r="B176" t="str">
            <v>Neha Das</v>
          </cell>
          <cell r="C176" t="str">
            <v>2026-04-08</v>
          </cell>
          <cell r="D176" t="str">
            <v>2026-04-30</v>
          </cell>
          <cell r="E176">
            <v>2026</v>
          </cell>
        </row>
        <row r="177">
          <cell r="A177" t="str">
            <v>EMP0747</v>
          </cell>
          <cell r="B177" t="str">
            <v>Pooja Das</v>
          </cell>
          <cell r="C177" t="str">
            <v>2020-11-11</v>
          </cell>
          <cell r="D177" t="str">
            <v>2021-05-19</v>
          </cell>
          <cell r="E177">
            <v>2021</v>
          </cell>
        </row>
        <row r="178">
          <cell r="A178" t="str">
            <v>EMP0750</v>
          </cell>
          <cell r="B178" t="str">
            <v>Aditya Joshi</v>
          </cell>
          <cell r="C178" t="str">
            <v>2024-01-06</v>
          </cell>
          <cell r="D178" t="str">
            <v>2024-08-03</v>
          </cell>
          <cell r="E178">
            <v>2024</v>
          </cell>
        </row>
        <row r="179">
          <cell r="A179" t="str">
            <v>EMP0756</v>
          </cell>
          <cell r="B179" t="str">
            <v>Nisha Nair</v>
          </cell>
          <cell r="C179" t="str">
            <v>2026-06-07</v>
          </cell>
          <cell r="D179" t="str">
            <v>2026-09-19</v>
          </cell>
          <cell r="E179">
            <v>2026</v>
          </cell>
        </row>
        <row r="180">
          <cell r="A180" t="str">
            <v>EMP0757</v>
          </cell>
          <cell r="B180" t="str">
            <v>Meera Shah</v>
          </cell>
          <cell r="C180" t="str">
            <v>2024-04-09</v>
          </cell>
          <cell r="D180" t="str">
            <v>2024-11-29</v>
          </cell>
          <cell r="E180">
            <v>2024</v>
          </cell>
        </row>
        <row r="181">
          <cell r="A181" t="str">
            <v>EMP0760</v>
          </cell>
          <cell r="B181" t="str">
            <v>Aarav Rao</v>
          </cell>
          <cell r="C181" t="str">
            <v>2026-05-19</v>
          </cell>
          <cell r="D181" t="str">
            <v>2026-06-08</v>
          </cell>
          <cell r="E181">
            <v>2026</v>
          </cell>
        </row>
        <row r="182">
          <cell r="A182" t="str">
            <v>EMP0761</v>
          </cell>
          <cell r="B182" t="str">
            <v>Rahul Kannan</v>
          </cell>
          <cell r="C182" t="str">
            <v>2022-12-16</v>
          </cell>
          <cell r="D182" t="str">
            <v>2023-11-30</v>
          </cell>
          <cell r="E182">
            <v>2023</v>
          </cell>
        </row>
        <row r="183">
          <cell r="A183" t="str">
            <v>EMP0767</v>
          </cell>
          <cell r="B183" t="str">
            <v>Ishita Iyer</v>
          </cell>
          <cell r="C183" t="str">
            <v>2025-09-30</v>
          </cell>
          <cell r="D183" t="str">
            <v>2025-11-05</v>
          </cell>
          <cell r="E183">
            <v>2025</v>
          </cell>
        </row>
        <row r="184">
          <cell r="A184" t="str">
            <v>EMP0768</v>
          </cell>
          <cell r="B184" t="str">
            <v>Sana Nair</v>
          </cell>
          <cell r="C184" t="str">
            <v>2024-10-11</v>
          </cell>
          <cell r="D184" t="str">
            <v>2024-12-08</v>
          </cell>
          <cell r="E184">
            <v>2024</v>
          </cell>
        </row>
        <row r="185">
          <cell r="A185" t="str">
            <v>EMP0773</v>
          </cell>
          <cell r="B185" t="str">
            <v>Kavya Singh</v>
          </cell>
          <cell r="C185" t="str">
            <v>2026-06-18</v>
          </cell>
          <cell r="D185" t="str">
            <v>2026-08-03</v>
          </cell>
          <cell r="E185">
            <v>2026</v>
          </cell>
        </row>
        <row r="186">
          <cell r="A186" t="str">
            <v>EMP0775</v>
          </cell>
          <cell r="B186" t="str">
            <v>Divya Joshi</v>
          </cell>
          <cell r="C186" t="str">
            <v>2026-07-05</v>
          </cell>
          <cell r="D186" t="str">
            <v>2026-09-01</v>
          </cell>
          <cell r="E186">
            <v>2026</v>
          </cell>
        </row>
        <row r="187">
          <cell r="A187" t="str">
            <v>EMP0779</v>
          </cell>
          <cell r="B187" t="str">
            <v>Rahul Jain</v>
          </cell>
          <cell r="C187" t="str">
            <v>2022-03-30</v>
          </cell>
          <cell r="D187" t="str">
            <v>2022-04-16</v>
          </cell>
          <cell r="E187">
            <v>2022</v>
          </cell>
        </row>
        <row r="188">
          <cell r="A188" t="str">
            <v>EMP0790</v>
          </cell>
          <cell r="B188" t="str">
            <v>Arjun Reddy</v>
          </cell>
          <cell r="C188" t="str">
            <v>2026-04-12</v>
          </cell>
          <cell r="D188" t="str">
            <v>2026-09-02</v>
          </cell>
          <cell r="E188">
            <v>2026</v>
          </cell>
        </row>
        <row r="189">
          <cell r="A189" t="str">
            <v>EMP0796</v>
          </cell>
          <cell r="B189" t="str">
            <v>Keerthi Shah</v>
          </cell>
          <cell r="C189" t="str">
            <v>2023-09-29</v>
          </cell>
          <cell r="D189" t="str">
            <v>2023-10-15</v>
          </cell>
          <cell r="E189">
            <v>2023</v>
          </cell>
        </row>
        <row r="190">
          <cell r="A190" t="str">
            <v>EMP0801</v>
          </cell>
          <cell r="B190" t="str">
            <v>Manoj Shah</v>
          </cell>
          <cell r="C190" t="str">
            <v>2023-01-26</v>
          </cell>
          <cell r="D190" t="str">
            <v>2023-06-20</v>
          </cell>
          <cell r="E190">
            <v>2023</v>
          </cell>
        </row>
        <row r="191">
          <cell r="A191" t="str">
            <v>EMP0805</v>
          </cell>
          <cell r="B191" t="str">
            <v>Anil  Verma</v>
          </cell>
          <cell r="C191" t="str">
            <v>2014-03-30</v>
          </cell>
          <cell r="D191" t="str">
            <v>2019-03-03</v>
          </cell>
          <cell r="E191">
            <v>2019</v>
          </cell>
        </row>
        <row r="192">
          <cell r="A192" t="str">
            <v>EMP0807</v>
          </cell>
          <cell r="B192" t="str">
            <v>Naveen Nair</v>
          </cell>
          <cell r="C192" t="str">
            <v>2022-03-18</v>
          </cell>
          <cell r="D192" t="str">
            <v>2022-09-03</v>
          </cell>
          <cell r="E192">
            <v>2022</v>
          </cell>
        </row>
        <row r="193">
          <cell r="A193" t="str">
            <v>EMP0822</v>
          </cell>
          <cell r="B193" t="str">
            <v>Lakshmi Kannan</v>
          </cell>
          <cell r="C193" t="str">
            <v>2010-12-08</v>
          </cell>
          <cell r="D193" t="str">
            <v>2016-05-21</v>
          </cell>
          <cell r="E193">
            <v>2016</v>
          </cell>
        </row>
        <row r="194">
          <cell r="A194" t="str">
            <v>EMP0824</v>
          </cell>
          <cell r="B194" t="str">
            <v>Nisha Joshi</v>
          </cell>
          <cell r="C194" t="str">
            <v>2013-09-01</v>
          </cell>
          <cell r="D194" t="str">
            <v>2018-12-25</v>
          </cell>
          <cell r="E194">
            <v>2018</v>
          </cell>
        </row>
        <row r="195">
          <cell r="A195" t="str">
            <v>EMP0825</v>
          </cell>
          <cell r="B195" t="str">
            <v>Naveen Jain</v>
          </cell>
          <cell r="C195" t="str">
            <v>2016-02-12</v>
          </cell>
          <cell r="D195" t="str">
            <v>2020-01-06</v>
          </cell>
          <cell r="E195">
            <v>2020</v>
          </cell>
        </row>
        <row r="196">
          <cell r="A196" t="str">
            <v>EMP0828</v>
          </cell>
          <cell r="B196" t="str">
            <v>Neha Shah</v>
          </cell>
          <cell r="C196" t="str">
            <v>2024-03-31</v>
          </cell>
          <cell r="D196" t="str">
            <v>2024-12-03</v>
          </cell>
          <cell r="E196">
            <v>2024</v>
          </cell>
        </row>
        <row r="197">
          <cell r="A197" t="str">
            <v>EMP0830</v>
          </cell>
          <cell r="B197" t="str">
            <v>Suresh Krishnan</v>
          </cell>
          <cell r="C197" t="str">
            <v>2025-08-12</v>
          </cell>
          <cell r="D197" t="str">
            <v>2025-10-29</v>
          </cell>
          <cell r="E197">
            <v>2025</v>
          </cell>
        </row>
        <row r="198">
          <cell r="A198" t="str">
            <v>EMP0831</v>
          </cell>
          <cell r="B198" t="str">
            <v>Keerthi Menon</v>
          </cell>
          <cell r="C198" t="str">
            <v>2026-01-02</v>
          </cell>
          <cell r="D198" t="str">
            <v>2026-04-19</v>
          </cell>
          <cell r="E198">
            <v>2026</v>
          </cell>
        </row>
        <row r="199">
          <cell r="A199" t="str">
            <v>EMP0837</v>
          </cell>
          <cell r="B199" t="str">
            <v>Priya Shah</v>
          </cell>
          <cell r="C199" t="str">
            <v>2026-04-30</v>
          </cell>
          <cell r="D199" t="str">
            <v>2026-05-18</v>
          </cell>
          <cell r="E199">
            <v>2026</v>
          </cell>
        </row>
        <row r="200">
          <cell r="A200" t="str">
            <v>EMP0849</v>
          </cell>
          <cell r="B200" t="str">
            <v>Aarav Sharma</v>
          </cell>
          <cell r="C200" t="str">
            <v>2026-06-16</v>
          </cell>
          <cell r="D200" t="str">
            <v>2026-08-08</v>
          </cell>
          <cell r="E200">
            <v>2026</v>
          </cell>
        </row>
        <row r="201">
          <cell r="A201" t="str">
            <v>EMP0850</v>
          </cell>
          <cell r="B201" t="str">
            <v>Kavya Patel</v>
          </cell>
          <cell r="C201" t="str">
            <v>2023-10-06</v>
          </cell>
          <cell r="D201" t="str">
            <v>2023-11-18</v>
          </cell>
          <cell r="E201">
            <v>2023</v>
          </cell>
        </row>
        <row r="202">
          <cell r="A202" t="str">
            <v>EMP0852</v>
          </cell>
          <cell r="B202" t="str">
            <v>Manoj Sharma</v>
          </cell>
          <cell r="C202" t="str">
            <v>2020-01-25</v>
          </cell>
          <cell r="D202" t="str">
            <v>2021-10-31</v>
          </cell>
          <cell r="E202">
            <v>2021</v>
          </cell>
        </row>
        <row r="203">
          <cell r="A203" t="str">
            <v>EMP0860</v>
          </cell>
          <cell r="B203" t="str">
            <v>Pooja Nair</v>
          </cell>
          <cell r="C203" t="str">
            <v>2021-07-10</v>
          </cell>
          <cell r="D203" t="str">
            <v>2021-09-28</v>
          </cell>
          <cell r="E203">
            <v>2021</v>
          </cell>
        </row>
        <row r="204">
          <cell r="A204" t="str">
            <v>EMP0861</v>
          </cell>
          <cell r="B204" t="str">
            <v>Rohan Rao</v>
          </cell>
          <cell r="C204" t="str">
            <v>2025-12-10</v>
          </cell>
          <cell r="D204" t="str">
            <v>2025-12-27</v>
          </cell>
          <cell r="E204">
            <v>2025</v>
          </cell>
        </row>
        <row r="205">
          <cell r="A205" t="str">
            <v>EMP0862</v>
          </cell>
          <cell r="B205" t="str">
            <v>Meera Kumar</v>
          </cell>
          <cell r="C205" t="str">
            <v>2018-03-15</v>
          </cell>
          <cell r="D205" t="str">
            <v>2019-08-02</v>
          </cell>
          <cell r="E205">
            <v>2019</v>
          </cell>
        </row>
        <row r="206">
          <cell r="A206" t="str">
            <v>EMP0871</v>
          </cell>
          <cell r="B206" t="str">
            <v>Aisha Das</v>
          </cell>
          <cell r="C206" t="str">
            <v>2026-01-13</v>
          </cell>
          <cell r="D206" t="str">
            <v>2026-05-28</v>
          </cell>
          <cell r="E206">
            <v>2026</v>
          </cell>
        </row>
        <row r="207">
          <cell r="A207" t="str">
            <v>EMP0877</v>
          </cell>
          <cell r="B207" t="str">
            <v>Meera Iyer</v>
          </cell>
          <cell r="C207" t="str">
            <v>2021-11-12</v>
          </cell>
          <cell r="D207" t="str">
            <v>2021-11-18</v>
          </cell>
          <cell r="E207">
            <v>2021</v>
          </cell>
        </row>
        <row r="208">
          <cell r="A208" t="str">
            <v>EMP0882</v>
          </cell>
          <cell r="B208" t="str">
            <v>Rohan Jain</v>
          </cell>
          <cell r="C208" t="str">
            <v>2026-01-28</v>
          </cell>
          <cell r="D208" t="str">
            <v>2026-09-01</v>
          </cell>
          <cell r="E208">
            <v>2026</v>
          </cell>
        </row>
        <row r="209">
          <cell r="A209" t="str">
            <v>EMP0884</v>
          </cell>
          <cell r="B209" t="str">
            <v>Arjun Joshi</v>
          </cell>
          <cell r="C209" t="str">
            <v>2011-10-02</v>
          </cell>
          <cell r="D209" t="str">
            <v>2017-10-12</v>
          </cell>
          <cell r="E209">
            <v>2017</v>
          </cell>
        </row>
        <row r="210">
          <cell r="A210" t="str">
            <v>EMP0896</v>
          </cell>
          <cell r="B210" t="str">
            <v>Rahul Rao</v>
          </cell>
          <cell r="C210" t="str">
            <v>2017-05-22</v>
          </cell>
          <cell r="D210" t="str">
            <v>2020-06-11</v>
          </cell>
          <cell r="E210">
            <v>2020</v>
          </cell>
        </row>
        <row r="211">
          <cell r="A211" t="str">
            <v>EMP0899</v>
          </cell>
          <cell r="B211" t="str">
            <v>Suresh Kannan</v>
          </cell>
          <cell r="C211" t="str">
            <v>2023-08-28</v>
          </cell>
          <cell r="D211" t="str">
            <v>2023-10-25</v>
          </cell>
          <cell r="E211">
            <v>2023</v>
          </cell>
        </row>
        <row r="212">
          <cell r="A212" t="str">
            <v>EMP0915</v>
          </cell>
          <cell r="B212" t="str">
            <v>Sanjay Verma</v>
          </cell>
          <cell r="C212" t="str">
            <v>2026-03-16</v>
          </cell>
          <cell r="D212" t="str">
            <v>2026-06-10</v>
          </cell>
          <cell r="E212">
            <v>2026</v>
          </cell>
        </row>
        <row r="213">
          <cell r="A213" t="str">
            <v>EMP0919</v>
          </cell>
          <cell r="B213" t="str">
            <v>Pooja Gupta</v>
          </cell>
          <cell r="C213" t="str">
            <v>2024-09-12</v>
          </cell>
          <cell r="D213" t="str">
            <v>2024-09-18</v>
          </cell>
          <cell r="E213">
            <v>2024</v>
          </cell>
        </row>
        <row r="214">
          <cell r="A214" t="str">
            <v>EMP0922</v>
          </cell>
          <cell r="B214" t="str">
            <v>Naveen Kannan</v>
          </cell>
          <cell r="C214" t="str">
            <v>2022-11-07</v>
          </cell>
          <cell r="D214" t="str">
            <v>2022-12-07</v>
          </cell>
          <cell r="E214">
            <v>2022</v>
          </cell>
        </row>
        <row r="215">
          <cell r="A215" t="str">
            <v>EMP0925</v>
          </cell>
          <cell r="B215" t="str">
            <v>Pooja Kannan</v>
          </cell>
          <cell r="C215" t="str">
            <v>2024-02-02</v>
          </cell>
          <cell r="D215" t="str">
            <v>2024-10-31</v>
          </cell>
          <cell r="E215">
            <v>2024</v>
          </cell>
        </row>
        <row r="216">
          <cell r="A216" t="str">
            <v>EMP0929</v>
          </cell>
          <cell r="B216" t="str">
            <v>Kavya Das</v>
          </cell>
          <cell r="C216" t="str">
            <v>2025-11-17</v>
          </cell>
          <cell r="D216" t="str">
            <v>2025-11-28</v>
          </cell>
          <cell r="E216">
            <v>2025</v>
          </cell>
        </row>
        <row r="217">
          <cell r="A217" t="str">
            <v>EMP0930</v>
          </cell>
          <cell r="B217" t="str">
            <v>Anil Menon</v>
          </cell>
          <cell r="C217" t="str">
            <v>2017-09-14</v>
          </cell>
          <cell r="D217" t="str">
            <v>2018-02-19</v>
          </cell>
          <cell r="E217">
            <v>2018</v>
          </cell>
        </row>
        <row r="218">
          <cell r="A218" t="str">
            <v>EMP0938</v>
          </cell>
          <cell r="B218" t="str">
            <v>Ishita Das</v>
          </cell>
          <cell r="C218" t="str">
            <v>2024-02-25</v>
          </cell>
          <cell r="D218" t="str">
            <v>2024-05-08</v>
          </cell>
          <cell r="E218">
            <v>2024</v>
          </cell>
        </row>
        <row r="219">
          <cell r="A219" t="str">
            <v>EMP0947</v>
          </cell>
          <cell r="B219" t="str">
            <v>Vikram Nair</v>
          </cell>
          <cell r="C219" t="str">
            <v>2010-12-14</v>
          </cell>
          <cell r="D219" t="str">
            <v>2016-02-01</v>
          </cell>
          <cell r="E219">
            <v>2016</v>
          </cell>
        </row>
        <row r="220">
          <cell r="A220" t="str">
            <v>EMP0950</v>
          </cell>
          <cell r="B220" t="str">
            <v>Vikram Rao</v>
          </cell>
          <cell r="C220" t="str">
            <v>2025-09-13</v>
          </cell>
          <cell r="D220" t="str">
            <v>2025-09-18</v>
          </cell>
          <cell r="E220">
            <v>2025</v>
          </cell>
        </row>
        <row r="221">
          <cell r="A221" t="str">
            <v>EMP0951</v>
          </cell>
          <cell r="B221" t="str">
            <v>Nisha Rao</v>
          </cell>
          <cell r="C221" t="str">
            <v>2025-12-30</v>
          </cell>
          <cell r="D221" t="str">
            <v>2025-12-31</v>
          </cell>
          <cell r="E221">
            <v>2025</v>
          </cell>
        </row>
        <row r="222">
          <cell r="A222" t="str">
            <v>EMP0960</v>
          </cell>
          <cell r="B222" t="str">
            <v>Nisha Reddy</v>
          </cell>
          <cell r="C222" t="str">
            <v>2021-06-06</v>
          </cell>
          <cell r="D222" t="str">
            <v>2021-10-19</v>
          </cell>
          <cell r="E222">
            <v>2021</v>
          </cell>
        </row>
        <row r="223">
          <cell r="A223" t="str">
            <v>EMP0964</v>
          </cell>
          <cell r="B223" t="str">
            <v>Ananya Joshi</v>
          </cell>
          <cell r="C223" t="str">
            <v>2025-09-02</v>
          </cell>
          <cell r="D223" t="str">
            <v>2025-09-18</v>
          </cell>
          <cell r="E223">
            <v>2025</v>
          </cell>
        </row>
        <row r="224">
          <cell r="A224" t="str">
            <v>EMP0969</v>
          </cell>
          <cell r="B224" t="str">
            <v>Priya Nair</v>
          </cell>
          <cell r="C224" t="str">
            <v>2026-01-10</v>
          </cell>
          <cell r="D224" t="str">
            <v>2026-09-15</v>
          </cell>
          <cell r="E224">
            <v>2026</v>
          </cell>
        </row>
        <row r="225">
          <cell r="A225" t="str">
            <v>EMP0970</v>
          </cell>
          <cell r="B225" t="str">
            <v>Meera Singh</v>
          </cell>
          <cell r="C225" t="str">
            <v>2023-10-16</v>
          </cell>
          <cell r="D225" t="str">
            <v>2023-11-23</v>
          </cell>
          <cell r="E225">
            <v>2023</v>
          </cell>
        </row>
        <row r="226">
          <cell r="A226" t="str">
            <v>EMP0973</v>
          </cell>
          <cell r="B226" t="str">
            <v>Nisha Patel</v>
          </cell>
          <cell r="C226" t="str">
            <v>2013-05-29</v>
          </cell>
          <cell r="D226" t="str">
            <v>2019-05-12</v>
          </cell>
          <cell r="E226">
            <v>2019</v>
          </cell>
        </row>
        <row r="227">
          <cell r="A227" t="str">
            <v>EMP0978</v>
          </cell>
          <cell r="B227" t="str">
            <v>Pooja Sharma</v>
          </cell>
          <cell r="C227" t="str">
            <v>2025-09-12</v>
          </cell>
          <cell r="D227" t="str">
            <v>2025-09-28</v>
          </cell>
          <cell r="E227">
            <v>2025</v>
          </cell>
        </row>
        <row r="228">
          <cell r="A228" t="str">
            <v>EMP0980</v>
          </cell>
          <cell r="B228" t="str">
            <v>Ananya Gupta</v>
          </cell>
          <cell r="C228" t="str">
            <v>2018-10-17</v>
          </cell>
          <cell r="D228" t="str">
            <v>2020-02-22</v>
          </cell>
          <cell r="E228">
            <v>2020</v>
          </cell>
        </row>
        <row r="229">
          <cell r="A229" t="str">
            <v>EMP0989</v>
          </cell>
          <cell r="B229" t="str">
            <v>Manoj Rao</v>
          </cell>
          <cell r="C229" t="str">
            <v>2022-02-01</v>
          </cell>
          <cell r="D229" t="str">
            <v>2022-06-29</v>
          </cell>
          <cell r="E229">
            <v>2022</v>
          </cell>
        </row>
        <row r="230">
          <cell r="A230" t="str">
            <v>EMP0990</v>
          </cell>
          <cell r="B230" t="str">
            <v>Aisha Menon</v>
          </cell>
          <cell r="C230" t="str">
            <v>2026-05-29</v>
          </cell>
          <cell r="D230" t="str">
            <v>2026-06-26</v>
          </cell>
          <cell r="E230">
            <v>2026</v>
          </cell>
        </row>
        <row r="231">
          <cell r="A231" t="str">
            <v>EMP0991</v>
          </cell>
          <cell r="B231" t="str">
            <v>Aditya Reddy</v>
          </cell>
          <cell r="C231" t="str">
            <v>2025-01-04</v>
          </cell>
          <cell r="D231" t="str">
            <v>2025-04-04</v>
          </cell>
          <cell r="E231">
            <v>2025</v>
          </cell>
        </row>
        <row r="232">
          <cell r="A232" t="str">
            <v>EMP0992</v>
          </cell>
          <cell r="B232" t="str">
            <v>Aditya Krishnan</v>
          </cell>
          <cell r="C232" t="str">
            <v>2018-06-15</v>
          </cell>
          <cell r="D232" t="str">
            <v>2018-12-02</v>
          </cell>
          <cell r="E232">
            <v>2018</v>
          </cell>
        </row>
        <row r="233">
          <cell r="A233" t="str">
            <v>EMP0993</v>
          </cell>
          <cell r="B233" t="str">
            <v>Kavya Bose</v>
          </cell>
          <cell r="C233" t="str">
            <v>2018-10-07</v>
          </cell>
          <cell r="D233" t="str">
            <v>2019-11-11</v>
          </cell>
          <cell r="E233">
            <v>2019</v>
          </cell>
        </row>
        <row r="234">
          <cell r="A234" t="str">
            <v>EMP0997</v>
          </cell>
          <cell r="B234" t="str">
            <v>Suresh Jain</v>
          </cell>
          <cell r="C234" t="str">
            <v>2024-12-11</v>
          </cell>
          <cell r="D234" t="str">
            <v>2024-12-21</v>
          </cell>
          <cell r="E234">
            <v>2024</v>
          </cell>
        </row>
        <row r="235">
          <cell r="A235" t="str">
            <v>EMP0999</v>
          </cell>
          <cell r="B235" t="str">
            <v>Sanjay Reddy</v>
          </cell>
          <cell r="C235" t="str">
            <v>2021-09-30</v>
          </cell>
          <cell r="D235" t="str">
            <v>2021-12-10</v>
          </cell>
          <cell r="E235">
            <v>2021</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istrator" refreshedDate="46315.711821874997" createdVersion="8" refreshedVersion="5" minRefreshableVersion="3" recordCount="1000">
  <cacheSource type="worksheet">
    <worksheetSource name="HR_Employees"/>
  </cacheSource>
  <cacheFields count="22">
    <cacheField name="Employee_ID" numFmtId="0">
      <sharedItems/>
    </cacheField>
    <cacheField name="Employee_Name" numFmtId="0">
      <sharedItems/>
    </cacheField>
    <cacheField name="Age" numFmtId="0">
      <sharedItems containsSemiMixedTypes="0" containsString="0" containsNumber="1" containsInteger="1" minValue="21" maxValue="62"/>
    </cacheField>
    <cacheField name="Age_Group" numFmtId="0">
      <sharedItems/>
    </cacheField>
    <cacheField name="Gender" numFmtId="0">
      <sharedItems count="2">
        <s v="Male"/>
        <s v="Female"/>
      </sharedItems>
    </cacheField>
    <cacheField name="Department" numFmtId="0">
      <sharedItems count="8">
        <s v="Finance"/>
        <s v="Sales"/>
        <s v="Technology"/>
        <s v="Operations"/>
        <s v="Legal"/>
        <s v="Customer Support"/>
        <s v="Human Resources"/>
        <s v="Marketing"/>
      </sharedItems>
    </cacheField>
    <cacheField name="Education" numFmtId="0">
      <sharedItems count="5">
        <s v="Bachelor's"/>
        <s v="Master's"/>
        <s v="High School"/>
        <s v="Diploma"/>
        <s v="PhD"/>
      </sharedItems>
    </cacheField>
    <cacheField name="Hire_Date" numFmtId="164">
      <sharedItems containsSemiMixedTypes="0" containsNonDate="0" containsDate="1" containsString="0" minDate="2010-11-10T00:00:00" maxDate="2026-09-14T00:00:00" count="382">
        <d v="2012-03-13T00:00:00"/>
        <d v="2012-08-13T00:00:00"/>
        <d v="2025-12-13T00:00:00"/>
        <d v="2022-01-16T00:00:00"/>
        <d v="2025-09-13T00:00:00"/>
        <d v="2021-12-13T00:00:00"/>
        <d v="2025-11-13T00:00:00"/>
        <d v="2026-07-13T00:00:00"/>
        <d v="2024-08-20T00:00:00"/>
        <d v="2021-11-13T00:00:00"/>
        <d v="2021-06-13T00:00:00"/>
        <d v="2026-05-13T00:00:00"/>
        <d v="2026-09-13T00:00:00"/>
        <d v="2023-12-13T00:00:00"/>
        <d v="2020-05-13T00:00:00"/>
        <d v="2026-07-18T00:00:00"/>
        <d v="2013-09-13T00:00:00"/>
        <d v="2023-03-13T00:00:00"/>
        <d v="2022-01-26T00:00:00"/>
        <d v="2015-12-01T00:00:00"/>
        <d v="2018-12-13T00:00:00"/>
        <d v="2014-07-13T00:00:00"/>
        <d v="2026-02-21T00:00:00"/>
        <d v="2012-02-13T00:00:00"/>
        <d v="2023-01-13T00:00:00"/>
        <d v="2013-11-13T00:00:00"/>
        <d v="2019-04-05T00:00:00"/>
        <d v="2026-01-13T00:00:00"/>
        <d v="2022-12-13T00:00:00"/>
        <d v="2025-06-13T00:00:00"/>
        <d v="2017-03-13T00:00:00"/>
        <d v="2026-02-13T00:00:00"/>
        <d v="2015-12-13T00:00:00"/>
        <d v="2022-06-13T00:00:00"/>
        <d v="2023-04-13T00:00:00"/>
        <d v="2026-05-22T00:00:00"/>
        <d v="2017-09-13T00:00:00"/>
        <d v="2024-07-29T00:00:00"/>
        <d v="2024-10-10T00:00:00"/>
        <d v="2026-06-13T00:00:00"/>
        <d v="2025-03-13T00:00:00"/>
        <d v="2023-05-13T00:00:00"/>
        <d v="2026-08-13T00:00:00"/>
        <d v="2024-02-13T00:00:00"/>
        <d v="2024-03-13T00:00:00"/>
        <d v="2025-05-25T00:00:00"/>
        <d v="2025-04-13T00:00:00"/>
        <d v="2022-11-13T00:00:00"/>
        <d v="2026-04-13T00:00:00"/>
        <d v="2025-08-03T00:00:00"/>
        <d v="2022-09-13T00:00:00"/>
        <d v="2024-10-13T00:00:00"/>
        <d v="2024-09-13T00:00:00"/>
        <d v="2024-05-13T00:00:00"/>
        <d v="2026-03-08T00:00:00"/>
        <d v="2010-12-13T00:00:00"/>
        <d v="2022-05-13T00:00:00"/>
        <d v="2023-06-11T00:00:00"/>
        <d v="2021-04-01T00:00:00"/>
        <d v="2024-11-13T00:00:00"/>
        <d v="2023-11-01T00:00:00"/>
        <d v="2014-12-30T00:00:00"/>
        <d v="2018-06-13T00:00:00"/>
        <d v="2018-09-13T00:00:00"/>
        <d v="2023-02-13T00:00:00"/>
        <d v="2014-03-13T00:00:00"/>
        <d v="2026-03-13T00:00:00"/>
        <d v="2011-04-05T00:00:00"/>
        <d v="2013-04-13T00:00:00"/>
        <d v="2021-05-13T00:00:00"/>
        <d v="2017-08-13T00:00:00"/>
        <d v="2020-04-13T00:00:00"/>
        <d v="2019-09-13T00:00:00"/>
        <d v="2019-04-13T00:00:00"/>
        <d v="2024-06-13T00:00:00"/>
        <d v="2021-02-28T00:00:00"/>
        <d v="2013-05-13T00:00:00"/>
        <d v="2020-11-13T00:00:00"/>
        <d v="2026-05-30T00:00:00"/>
        <d v="2021-10-13T00:00:00"/>
        <d v="2024-04-13T00:00:00"/>
        <d v="2026-03-30T00:00:00"/>
        <d v="2017-04-28T00:00:00"/>
        <d v="2016-10-13T00:00:00"/>
        <d v="2023-09-13T00:00:00"/>
        <d v="2018-08-13T00:00:00"/>
        <d v="2026-01-02T00:00:00"/>
        <d v="2016-07-13T00:00:00"/>
        <d v="2021-11-04T00:00:00"/>
        <d v="2012-07-13T00:00:00"/>
        <d v="2018-11-13T00:00:00"/>
        <d v="2013-08-13T00:00:00"/>
        <d v="2026-06-19T00:00:00"/>
        <d v="2023-06-15T00:00:00"/>
        <d v="2018-09-05T00:00:00"/>
        <d v="2021-03-13T00:00:00"/>
        <d v="2012-05-13T00:00:00"/>
        <d v="2016-03-13T00:00:00"/>
        <d v="2021-04-13T00:00:00"/>
        <d v="2015-09-13T00:00:00"/>
        <d v="2015-07-07T00:00:00"/>
        <d v="2018-02-11T00:00:00"/>
        <d v="2025-10-13T00:00:00"/>
        <d v="2020-09-01T00:00:00"/>
        <d v="2025-02-13T00:00:00"/>
        <d v="2024-07-13T00:00:00"/>
        <d v="2015-05-13T00:00:00"/>
        <d v="2011-03-13T00:00:00"/>
        <d v="2025-12-25T00:00:00"/>
        <d v="2026-02-04T00:00:00"/>
        <d v="2020-02-13T00:00:00"/>
        <d v="2023-11-13T00:00:00"/>
        <d v="2026-03-04T00:00:00"/>
        <d v="2014-04-09T00:00:00"/>
        <d v="2025-12-28T00:00:00"/>
        <d v="2025-05-13T00:00:00"/>
        <d v="2015-02-13T00:00:00"/>
        <d v="2011-02-11T00:00:00"/>
        <d v="2024-08-13T00:00:00"/>
        <d v="2011-12-02T00:00:00"/>
        <d v="2024-12-13T00:00:00"/>
        <d v="2024-06-26T00:00:00"/>
        <d v="2025-01-13T00:00:00"/>
        <d v="2022-01-13T00:00:00"/>
        <d v="2022-02-13T00:00:00"/>
        <d v="2026-04-17T00:00:00"/>
        <d v="2015-11-13T00:00:00"/>
        <d v="2025-04-23T00:00:00"/>
        <d v="2021-04-27T00:00:00"/>
        <d v="2022-10-05T00:00:00"/>
        <d v="2017-01-13T00:00:00"/>
        <d v="2024-01-13T00:00:00"/>
        <d v="2016-02-13T00:00:00"/>
        <d v="2011-07-13T00:00:00"/>
        <d v="2025-09-16T00:00:00"/>
        <d v="2024-03-14T00:00:00"/>
        <d v="2017-12-13T00:00:00"/>
        <d v="2022-03-13T00:00:00"/>
        <d v="2026-03-18T00:00:00"/>
        <d v="2017-11-18T00:00:00"/>
        <d v="2018-07-13T00:00:00"/>
        <d v="2022-08-13T00:00:00"/>
        <d v="2026-02-26T00:00:00"/>
        <d v="2023-11-08T00:00:00"/>
        <d v="2012-03-12T00:00:00"/>
        <d v="2025-08-31T00:00:00"/>
        <d v="2020-12-13T00:00:00"/>
        <d v="2017-02-13T00:00:00"/>
        <d v="2020-03-21T00:00:00"/>
        <d v="2025-09-28T00:00:00"/>
        <d v="2017-10-13T00:00:00"/>
        <d v="2016-12-13T00:00:00"/>
        <d v="2018-10-23T00:00:00"/>
        <d v="2020-06-13T00:00:00"/>
        <d v="2022-05-28T00:00:00"/>
        <d v="2022-04-13T00:00:00"/>
        <d v="2025-12-08T00:00:00"/>
        <d v="2026-02-27T00:00:00"/>
        <d v="2026-04-07T00:00:00"/>
        <d v="2018-11-03T00:00:00"/>
        <d v="2022-10-25T00:00:00"/>
        <d v="2020-07-13T00:00:00"/>
        <d v="2019-07-13T00:00:00"/>
        <d v="2026-02-17T00:00:00"/>
        <d v="2014-08-25T00:00:00"/>
        <d v="2018-03-13T00:00:00"/>
        <d v="2013-12-13T00:00:00"/>
        <d v="2020-03-13T00:00:00"/>
        <d v="2017-07-13T00:00:00"/>
        <d v="2026-07-04T00:00:00"/>
        <d v="2023-06-13T00:00:00"/>
        <d v="2024-07-22T00:00:00"/>
        <d v="2023-10-13T00:00:00"/>
        <d v="2022-10-13T00:00:00"/>
        <d v="2019-12-13T00:00:00"/>
        <d v="2026-06-02T00:00:00"/>
        <d v="2023-07-04T00:00:00"/>
        <d v="2025-04-02T00:00:00"/>
        <d v="2023-08-13T00:00:00"/>
        <d v="2021-01-05T00:00:00"/>
        <d v="2012-10-13T00:00:00"/>
        <d v="2021-07-13T00:00:00"/>
        <d v="2022-05-27T00:00:00"/>
        <d v="2025-07-13T00:00:00"/>
        <d v="2026-05-04T00:00:00"/>
        <d v="2016-11-13T00:00:00"/>
        <d v="2015-03-13T00:00:00"/>
        <d v="2022-03-30T00:00:00"/>
        <d v="2025-08-28T00:00:00"/>
        <d v="2024-07-31T00:00:00"/>
        <d v="2012-08-30T00:00:00"/>
        <d v="2025-11-11T00:00:00"/>
        <d v="2025-10-30T00:00:00"/>
        <d v="2013-01-07T00:00:00"/>
        <d v="2024-08-10T00:00:00"/>
        <d v="2014-05-19T00:00:00"/>
        <d v="2022-07-13T00:00:00"/>
        <d v="2019-07-19T00:00:00"/>
        <d v="2017-04-13T00:00:00"/>
        <d v="2025-12-27T00:00:00"/>
        <d v="2019-02-21T00:00:00"/>
        <d v="2026-06-06T00:00:00"/>
        <d v="2024-11-08T00:00:00"/>
        <d v="2023-10-23T00:00:00"/>
        <d v="2018-02-13T00:00:00"/>
        <d v="2014-07-11T00:00:00"/>
        <d v="2015-02-04T00:00:00"/>
        <d v="2018-05-13T00:00:00"/>
        <d v="2020-02-06T00:00:00"/>
        <d v="2026-02-09T00:00:00"/>
        <d v="2016-08-20T00:00:00"/>
        <d v="2025-09-27T00:00:00"/>
        <d v="2019-11-29T00:00:00"/>
        <d v="2013-01-17T00:00:00"/>
        <d v="2026-05-02T00:00:00"/>
        <d v="2026-06-26T00:00:00"/>
        <d v="2012-01-13T00:00:00"/>
        <d v="2013-02-13T00:00:00"/>
        <d v="2022-05-01T00:00:00"/>
        <d v="2016-09-13T00:00:00"/>
        <d v="2026-08-14T00:00:00"/>
        <d v="2021-09-13T00:00:00"/>
        <d v="2015-04-13T00:00:00"/>
        <d v="2024-03-06T00:00:00"/>
        <d v="2016-01-24T00:00:00"/>
        <d v="2018-01-13T00:00:00"/>
        <d v="2026-05-08T00:00:00"/>
        <d v="2019-06-13T00:00:00"/>
        <d v="2024-11-27T00:00:00"/>
        <d v="2025-01-07T00:00:00"/>
        <d v="2022-11-06T00:00:00"/>
        <d v="2018-04-13T00:00:00"/>
        <d v="2016-05-13T00:00:00"/>
        <d v="2026-07-25T00:00:00"/>
        <d v="2024-10-04T00:00:00"/>
        <d v="2022-09-11T00:00:00"/>
        <d v="2024-10-27T00:00:00"/>
        <d v="2025-01-12T00:00:00"/>
        <d v="2019-01-13T00:00:00"/>
        <d v="2021-01-13T00:00:00"/>
        <d v="2023-06-29T00:00:00"/>
        <d v="2026-03-29T00:00:00"/>
        <d v="2014-10-07T00:00:00"/>
        <d v="2015-01-13T00:00:00"/>
        <d v="2014-12-04T00:00:00"/>
        <d v="2026-01-12T00:00:00"/>
        <d v="2023-12-23T00:00:00"/>
        <d v="2020-10-11T00:00:00"/>
        <d v="2026-01-26T00:00:00"/>
        <d v="2019-03-28T00:00:00"/>
        <d v="2026-02-28T00:00:00"/>
        <d v="2019-10-13T00:00:00"/>
        <d v="2022-08-08T00:00:00"/>
        <d v="2024-05-06T00:00:00"/>
        <d v="2026-02-19T00:00:00"/>
        <d v="2025-10-16T00:00:00"/>
        <d v="2011-01-03T00:00:00"/>
        <d v="2025-04-15T00:00:00"/>
        <d v="2015-01-17T00:00:00"/>
        <d v="2025-07-05T00:00:00"/>
        <d v="2011-06-13T00:00:00"/>
        <d v="2025-09-03T00:00:00"/>
        <d v="2025-08-13T00:00:00"/>
        <d v="2017-11-13T00:00:00"/>
        <d v="2015-08-16T00:00:00"/>
        <d v="2017-08-11T00:00:00"/>
        <d v="2024-07-11T00:00:00"/>
        <d v="2025-09-05T00:00:00"/>
        <d v="2016-11-24T00:00:00"/>
        <d v="2023-06-28T00:00:00"/>
        <d v="2023-11-26T00:00:00"/>
        <d v="2011-08-13T00:00:00"/>
        <d v="2011-10-13T00:00:00"/>
        <d v="2021-02-12T00:00:00"/>
        <d v="2014-04-13T00:00:00"/>
        <d v="2016-08-13T00:00:00"/>
        <d v="2019-11-13T00:00:00"/>
        <d v="2011-12-13T00:00:00"/>
        <d v="2020-08-13T00:00:00"/>
        <d v="2023-09-21T00:00:00"/>
        <d v="2019-12-17T00:00:00"/>
        <d v="2023-11-24T00:00:00"/>
        <d v="2014-02-13T00:00:00"/>
        <d v="2011-05-12T00:00:00"/>
        <d v="2022-01-22T00:00:00"/>
        <d v="2015-07-13T00:00:00"/>
        <d v="2021-01-06T00:00:00"/>
        <d v="2026-04-15T00:00:00"/>
        <d v="2025-09-23T00:00:00"/>
        <d v="2016-06-05T00:00:00"/>
        <d v="2025-10-03T00:00:00"/>
        <d v="2026-07-09T00:00:00"/>
        <d v="2023-07-13T00:00:00"/>
        <d v="2025-05-30T00:00:00"/>
        <d v="2024-04-12T00:00:00"/>
        <d v="2010-11-10T00:00:00"/>
        <d v="2022-11-18T00:00:00"/>
        <d v="2025-09-06T00:00:00"/>
        <d v="2018-11-15T00:00:00"/>
        <d v="2022-03-05T00:00:00"/>
        <d v="2015-08-13T00:00:00"/>
        <d v="2026-05-24T00:00:00"/>
        <d v="2020-09-13T00:00:00"/>
        <d v="2022-06-18T00:00:00"/>
        <d v="2026-01-28T00:00:00"/>
        <d v="2024-06-17T00:00:00"/>
        <d v="2026-02-06T00:00:00"/>
        <d v="2018-10-13T00:00:00"/>
        <d v="2025-10-24T00:00:00"/>
        <d v="2016-06-11T00:00:00"/>
        <d v="2011-01-13T00:00:00"/>
        <d v="2022-02-27T00:00:00"/>
        <d v="2012-11-14T00:00:00"/>
        <d v="2026-04-08T00:00:00"/>
        <d v="2020-11-11T00:00:00"/>
        <d v="2024-01-06T00:00:00"/>
        <d v="2026-06-07T00:00:00"/>
        <d v="2024-04-09T00:00:00"/>
        <d v="2026-05-19T00:00:00"/>
        <d v="2022-12-16T00:00:00"/>
        <d v="2011-04-13T00:00:00"/>
        <d v="2025-09-30T00:00:00"/>
        <d v="2024-10-11T00:00:00"/>
        <d v="2026-06-18T00:00:00"/>
        <d v="2026-07-05T00:00:00"/>
        <d v="2026-04-12T00:00:00"/>
        <d v="2021-08-13T00:00:00"/>
        <d v="2023-09-29T00:00:00"/>
        <d v="2016-04-13T00:00:00"/>
        <d v="2023-01-26T00:00:00"/>
        <d v="2014-03-30T00:00:00"/>
        <d v="2022-03-18T00:00:00"/>
        <d v="2010-12-08T00:00:00"/>
        <d v="2013-09-01T00:00:00"/>
        <d v="2016-02-12T00:00:00"/>
        <d v="2024-03-31T00:00:00"/>
        <d v="2025-08-12T00:00:00"/>
        <d v="2012-12-13T00:00:00"/>
        <d v="2026-04-30T00:00:00"/>
        <d v="2013-03-13T00:00:00"/>
        <d v="2026-06-16T00:00:00"/>
        <d v="2023-10-06T00:00:00"/>
        <d v="2020-01-25T00:00:00"/>
        <d v="2021-07-10T00:00:00"/>
        <d v="2025-12-10T00:00:00"/>
        <d v="2018-03-15T00:00:00"/>
        <d v="2014-01-13T00:00:00"/>
        <d v="2020-01-13T00:00:00"/>
        <d v="2012-09-13T00:00:00"/>
        <d v="2021-11-12T00:00:00"/>
        <d v="2011-10-02T00:00:00"/>
        <d v="2021-02-13T00:00:00"/>
        <d v="2017-05-22T00:00:00"/>
        <d v="2023-08-28T00:00:00"/>
        <d v="2026-03-16T00:00:00"/>
        <d v="2024-09-12T00:00:00"/>
        <d v="2022-11-07T00:00:00"/>
        <d v="2024-02-02T00:00:00"/>
        <d v="2014-12-13T00:00:00"/>
        <d v="2025-11-17T00:00:00"/>
        <d v="2017-09-14T00:00:00"/>
        <d v="2024-02-25T00:00:00"/>
        <d v="2019-05-13T00:00:00"/>
        <d v="2010-12-14T00:00:00"/>
        <d v="2025-12-30T00:00:00"/>
        <d v="2021-06-06T00:00:00"/>
        <d v="2025-09-02T00:00:00"/>
        <d v="2026-01-10T00:00:00"/>
        <d v="2023-10-16T00:00:00"/>
        <d v="2013-05-29T00:00:00"/>
        <d v="2017-06-13T00:00:00"/>
        <d v="2025-09-12T00:00:00"/>
        <d v="2020-10-13T00:00:00"/>
        <d v="2018-10-17T00:00:00"/>
        <d v="2022-02-01T00:00:00"/>
        <d v="2026-05-29T00:00:00"/>
        <d v="2025-01-04T00:00:00"/>
        <d v="2018-06-15T00:00:00"/>
        <d v="2018-10-07T00:00:00"/>
        <d v="2024-12-11T00:00:00"/>
        <d v="2021-09-30T00:00:00"/>
        <d v="2012-06-13T00:00:00"/>
      </sharedItems>
      <fieldGroup par="21"/>
    </cacheField>
    <cacheField name="Exit_Date" numFmtId="164">
      <sharedItems/>
    </cacheField>
    <cacheField name="Attrition" numFmtId="0">
      <sharedItems count="2">
        <s v="No"/>
        <s v="Yes"/>
      </sharedItems>
    </cacheField>
    <cacheField name="Performance_Rating" numFmtId="0">
      <sharedItems containsSemiMixedTypes="0" containsString="0" containsNumber="1" containsInteger="1" minValue="1" maxValue="5"/>
    </cacheField>
    <cacheField name="Monthly_Salary_INR" numFmtId="3">
      <sharedItems containsSemiMixedTypes="0" containsString="0" containsNumber="1" containsInteger="1" minValue="18040" maxValue="174994"/>
    </cacheField>
    <cacheField name="Salary_Band" numFmtId="0">
      <sharedItems count="5">
        <s v="100k+"/>
        <s v="50k–75k"/>
        <s v="30k–50k"/>
        <s v="75k–100k"/>
        <s v="Below 30k"/>
      </sharedItems>
    </cacheField>
    <cacheField name="Tenure_Band" numFmtId="0">
      <sharedItems count="5">
        <s v="10+ years"/>
        <s v="0–1 years"/>
        <s v="3–5 years"/>
        <s v="1–3 years"/>
        <s v="5–10 years"/>
      </sharedItems>
    </cacheField>
    <cacheField name="Tenure_Years" numFmtId="0">
      <sharedItems containsSemiMixedTypes="0" containsString="0" containsNumber="1" minValue="0.08" maxValue="15.83"/>
    </cacheField>
    <cacheField name="Recruitment_Source" numFmtId="0">
      <sharedItems count="6">
        <s v="LinkedIn"/>
        <s v="Company Website"/>
        <s v="Job Portal"/>
        <s v="Employee Referral"/>
        <s v="Recruitment Agency"/>
        <s v="Campus Hiring"/>
      </sharedItems>
    </cacheField>
    <cacheField name="Work_Location" numFmtId="0">
      <sharedItems count="8">
        <s v="Coimbatore"/>
        <s v="Pune"/>
        <s v="Delhi"/>
        <s v="Chennai"/>
        <s v="Hyderabad"/>
        <s v="Kochi"/>
        <s v="Mumbai"/>
        <s v="Bengaluru"/>
      </sharedItems>
    </cacheField>
    <cacheField name="Hire_Year" numFmtId="0">
      <sharedItems containsSemiMixedTypes="0" containsString="0" containsNumber="1" containsInteger="1" minValue="2010" maxValue="2026"/>
    </cacheField>
    <cacheField name="YEAR of attrition" numFmtId="0">
      <sharedItems containsMixedTypes="1" containsNumber="1" containsInteger="1" minValue="2016" maxValue="2026" count="12">
        <s v=""/>
        <n v="2026"/>
        <n v="2024"/>
        <n v="2022"/>
        <n v="2023"/>
        <n v="2025"/>
        <n v="2021"/>
        <n v="2017"/>
        <n v="2016"/>
        <n v="2020"/>
        <n v="2019"/>
        <n v="2018"/>
      </sharedItems>
    </cacheField>
    <cacheField name="Months (Hire_Date)" numFmtId="0" databaseField="0">
      <fieldGroup base="7">
        <rangePr groupBy="months" startDate="2010-11-10T00:00:00" endDate="2026-09-14T00:00:00"/>
        <groupItems count="14">
          <s v="&lt;11/10/2010"/>
          <s v="Jan"/>
          <s v="Feb"/>
          <s v="Mar"/>
          <s v="Apr"/>
          <s v="May"/>
          <s v="Jun"/>
          <s v="Jul"/>
          <s v="Aug"/>
          <s v="Sep"/>
          <s v="Oct"/>
          <s v="Nov"/>
          <s v="Dec"/>
          <s v="&gt;9/14/2026"/>
        </groupItems>
      </fieldGroup>
    </cacheField>
    <cacheField name="Quarters (Hire_Date)" numFmtId="0" databaseField="0">
      <fieldGroup base="7">
        <rangePr groupBy="quarters" startDate="2010-11-10T00:00:00" endDate="2026-09-14T00:00:00"/>
        <groupItems count="6">
          <s v="&lt;11/10/2010"/>
          <s v="Qtr1"/>
          <s v="Qtr2"/>
          <s v="Qtr3"/>
          <s v="Qtr4"/>
          <s v="&gt;9/14/2026"/>
        </groupItems>
      </fieldGroup>
    </cacheField>
    <cacheField name="Years (Hire_Date)" numFmtId="0" databaseField="0">
      <fieldGroup base="7">
        <rangePr groupBy="years" startDate="2010-11-10T00:00:00" endDate="2026-09-14T00:00:00"/>
        <groupItems count="19">
          <s v="&lt;11/10/2010"/>
          <s v="2010"/>
          <s v="2011"/>
          <s v="2012"/>
          <s v="2013"/>
          <s v="2014"/>
          <s v="2015"/>
          <s v="2016"/>
          <s v="2017"/>
          <s v="2018"/>
          <s v="2019"/>
          <s v="2020"/>
          <s v="2021"/>
          <s v="2022"/>
          <s v="2023"/>
          <s v="2024"/>
          <s v="2025"/>
          <s v="2026"/>
          <s v="&gt;9/14/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EMP0001"/>
    <s v="Neha Joshi"/>
    <n v="55"/>
    <s v="46–55"/>
    <x v="0"/>
    <x v="0"/>
    <x v="0"/>
    <x v="0"/>
    <s v=" NA"/>
    <x v="0"/>
    <n v="4"/>
    <n v="172639"/>
    <x v="0"/>
    <x v="0"/>
    <n v="14.58"/>
    <x v="0"/>
    <x v="0"/>
    <n v="2012"/>
    <x v="0"/>
  </r>
  <r>
    <s v="EMP0002"/>
    <s v="Aisha Das"/>
    <n v="32"/>
    <s v="26–35"/>
    <x v="1"/>
    <x v="0"/>
    <x v="1"/>
    <x v="1"/>
    <s v=" NA"/>
    <x v="0"/>
    <n v="4"/>
    <n v="52081"/>
    <x v="1"/>
    <x v="0"/>
    <n v="14.17"/>
    <x v="1"/>
    <x v="1"/>
    <n v="2012"/>
    <x v="0"/>
  </r>
  <r>
    <s v="EMP0003"/>
    <s v="Aditya Jain"/>
    <n v="21"/>
    <s v="18–25"/>
    <x v="0"/>
    <x v="1"/>
    <x v="2"/>
    <x v="2"/>
    <s v=" NA"/>
    <x v="0"/>
    <n v="1"/>
    <n v="31906"/>
    <x v="2"/>
    <x v="1"/>
    <n v="0.83"/>
    <x v="0"/>
    <x v="2"/>
    <n v="2025"/>
    <x v="0"/>
  </r>
  <r>
    <s v="EMP0004"/>
    <s v="Neha Gupta"/>
    <n v="29"/>
    <s v="26–35"/>
    <x v="0"/>
    <x v="2"/>
    <x v="3"/>
    <x v="3"/>
    <s v="2026-09-01"/>
    <x v="1"/>
    <n v="3"/>
    <n v="42213"/>
    <x v="2"/>
    <x v="2"/>
    <n v="4.67"/>
    <x v="2"/>
    <x v="1"/>
    <n v="2022"/>
    <x v="1"/>
  </r>
  <r>
    <s v="EMP0005"/>
    <s v="Lakshmi Patel"/>
    <n v="58"/>
    <s v="56+"/>
    <x v="0"/>
    <x v="3"/>
    <x v="0"/>
    <x v="4"/>
    <s v=" NA"/>
    <x v="0"/>
    <n v="2"/>
    <n v="105832"/>
    <x v="0"/>
    <x v="3"/>
    <n v="1.08"/>
    <x v="3"/>
    <x v="3"/>
    <n v="2025"/>
    <x v="0"/>
  </r>
  <r>
    <s v="EMP0006"/>
    <s v="Meera Kannan"/>
    <n v="40"/>
    <s v="36–45"/>
    <x v="0"/>
    <x v="1"/>
    <x v="1"/>
    <x v="5"/>
    <s v=" NA"/>
    <x v="0"/>
    <n v="5"/>
    <n v="61012"/>
    <x v="1"/>
    <x v="2"/>
    <n v="4.83"/>
    <x v="1"/>
    <x v="4"/>
    <n v="2021"/>
    <x v="0"/>
  </r>
  <r>
    <s v="EMP0007"/>
    <s v="Naveen Reddy"/>
    <n v="25"/>
    <s v="18–25"/>
    <x v="1"/>
    <x v="4"/>
    <x v="0"/>
    <x v="5"/>
    <s v=" NA"/>
    <x v="0"/>
    <n v="4"/>
    <n v="90727"/>
    <x v="3"/>
    <x v="2"/>
    <n v="4.83"/>
    <x v="2"/>
    <x v="1"/>
    <n v="2021"/>
    <x v="0"/>
  </r>
  <r>
    <s v="EMP0008"/>
    <s v="Manoj Verma"/>
    <n v="24"/>
    <s v="18–25"/>
    <x v="0"/>
    <x v="3"/>
    <x v="1"/>
    <x v="6"/>
    <s v=" NA"/>
    <x v="0"/>
    <n v="2"/>
    <n v="41595"/>
    <x v="2"/>
    <x v="1"/>
    <n v="0.92"/>
    <x v="0"/>
    <x v="3"/>
    <n v="2025"/>
    <x v="0"/>
  </r>
  <r>
    <s v="EMP0009"/>
    <s v="Nisha Krishnan"/>
    <n v="25"/>
    <s v="18–25"/>
    <x v="0"/>
    <x v="1"/>
    <x v="1"/>
    <x v="7"/>
    <s v=" NA"/>
    <x v="0"/>
    <n v="2"/>
    <n v="59571"/>
    <x v="1"/>
    <x v="1"/>
    <n v="0.25"/>
    <x v="0"/>
    <x v="1"/>
    <n v="2026"/>
    <x v="0"/>
  </r>
  <r>
    <s v="EMP0010"/>
    <s v="Sanjay Joshi"/>
    <n v="31"/>
    <s v="26–35"/>
    <x v="0"/>
    <x v="5"/>
    <x v="0"/>
    <x v="8"/>
    <s v="2024-12-27"/>
    <x v="1"/>
    <n v="4"/>
    <n v="56547"/>
    <x v="1"/>
    <x v="3"/>
    <n v="2.08"/>
    <x v="0"/>
    <x v="1"/>
    <n v="2024"/>
    <x v="2"/>
  </r>
  <r>
    <s v="EMP0011"/>
    <s v="Keerthi Gupta"/>
    <n v="26"/>
    <s v="26–35"/>
    <x v="0"/>
    <x v="2"/>
    <x v="1"/>
    <x v="9"/>
    <s v=" NA"/>
    <x v="0"/>
    <n v="4"/>
    <n v="73923"/>
    <x v="1"/>
    <x v="2"/>
    <n v="4.92"/>
    <x v="0"/>
    <x v="5"/>
    <n v="2021"/>
    <x v="0"/>
  </r>
  <r>
    <s v="EMP0012"/>
    <s v="Meera Sharma"/>
    <n v="25"/>
    <s v="18–25"/>
    <x v="0"/>
    <x v="2"/>
    <x v="0"/>
    <x v="10"/>
    <s v=" NA"/>
    <x v="0"/>
    <n v="2"/>
    <n v="83715"/>
    <x v="3"/>
    <x v="4"/>
    <n v="5.33"/>
    <x v="3"/>
    <x v="3"/>
    <n v="2021"/>
    <x v="0"/>
  </r>
  <r>
    <s v="EMP0013"/>
    <s v="Sana Singh"/>
    <n v="34"/>
    <s v="26–35"/>
    <x v="1"/>
    <x v="4"/>
    <x v="0"/>
    <x v="11"/>
    <s v=" NA"/>
    <x v="0"/>
    <n v="4"/>
    <n v="18827"/>
    <x v="4"/>
    <x v="1"/>
    <n v="0.42"/>
    <x v="4"/>
    <x v="3"/>
    <n v="2026"/>
    <x v="0"/>
  </r>
  <r>
    <s v="EMP0014"/>
    <s v="Meera Verma"/>
    <n v="51"/>
    <s v="46–55"/>
    <x v="0"/>
    <x v="1"/>
    <x v="1"/>
    <x v="12"/>
    <s v=" NA"/>
    <x v="0"/>
    <n v="1"/>
    <n v="78689"/>
    <x v="3"/>
    <x v="1"/>
    <n v="0.08"/>
    <x v="0"/>
    <x v="6"/>
    <n v="2026"/>
    <x v="0"/>
  </r>
  <r>
    <s v="EMP0015"/>
    <s v="Ananya Menon"/>
    <n v="34"/>
    <s v="26–35"/>
    <x v="1"/>
    <x v="2"/>
    <x v="0"/>
    <x v="13"/>
    <s v=" NA"/>
    <x v="0"/>
    <n v="4"/>
    <n v="29547"/>
    <x v="4"/>
    <x v="3"/>
    <n v="2.83"/>
    <x v="3"/>
    <x v="1"/>
    <n v="2023"/>
    <x v="0"/>
  </r>
  <r>
    <s v="EMP0016"/>
    <s v="Ananya Sharma"/>
    <n v="59"/>
    <s v="56+"/>
    <x v="1"/>
    <x v="3"/>
    <x v="2"/>
    <x v="14"/>
    <s v=" NA"/>
    <x v="0"/>
    <n v="4"/>
    <n v="27518"/>
    <x v="4"/>
    <x v="4"/>
    <n v="6.42"/>
    <x v="1"/>
    <x v="3"/>
    <n v="2020"/>
    <x v="0"/>
  </r>
  <r>
    <s v="EMP0017"/>
    <s v="Ananya Menon"/>
    <n v="21"/>
    <s v="18–25"/>
    <x v="0"/>
    <x v="5"/>
    <x v="1"/>
    <x v="15"/>
    <s v="2026-08-23"/>
    <x v="1"/>
    <n v="4"/>
    <n v="22234"/>
    <x v="4"/>
    <x v="1"/>
    <n v="0.17"/>
    <x v="0"/>
    <x v="7"/>
    <n v="2026"/>
    <x v="1"/>
  </r>
  <r>
    <s v="EMP0018"/>
    <s v="Naveen Iyer"/>
    <n v="21"/>
    <s v="18–25"/>
    <x v="0"/>
    <x v="2"/>
    <x v="0"/>
    <x v="16"/>
    <s v=" NA"/>
    <x v="0"/>
    <n v="3"/>
    <n v="35134"/>
    <x v="2"/>
    <x v="0"/>
    <n v="13.08"/>
    <x v="2"/>
    <x v="3"/>
    <n v="2013"/>
    <x v="0"/>
  </r>
  <r>
    <s v="EMP0019"/>
    <s v="Ishita Reddy"/>
    <n v="57"/>
    <s v="56+"/>
    <x v="0"/>
    <x v="2"/>
    <x v="3"/>
    <x v="17"/>
    <s v=" NA"/>
    <x v="0"/>
    <n v="3"/>
    <n v="95339"/>
    <x v="3"/>
    <x v="2"/>
    <n v="3.58"/>
    <x v="2"/>
    <x v="2"/>
    <n v="2023"/>
    <x v="0"/>
  </r>
  <r>
    <s v="EMP0020"/>
    <s v="Suresh Kannan"/>
    <n v="41"/>
    <s v="36–45"/>
    <x v="1"/>
    <x v="3"/>
    <x v="1"/>
    <x v="18"/>
    <s v="2022-08-13"/>
    <x v="1"/>
    <n v="3"/>
    <n v="26618"/>
    <x v="4"/>
    <x v="2"/>
    <n v="4.67"/>
    <x v="3"/>
    <x v="6"/>
    <n v="2022"/>
    <x v="3"/>
  </r>
  <r>
    <s v="EMP0021"/>
    <s v="Aarav Sharma"/>
    <n v="39"/>
    <s v="36–45"/>
    <x v="1"/>
    <x v="2"/>
    <x v="1"/>
    <x v="17"/>
    <s v=" NA"/>
    <x v="0"/>
    <n v="5"/>
    <n v="35814"/>
    <x v="2"/>
    <x v="2"/>
    <n v="3.58"/>
    <x v="1"/>
    <x v="3"/>
    <n v="2023"/>
    <x v="0"/>
  </r>
  <r>
    <s v="EMP0022"/>
    <s v="Keerthi Rao"/>
    <n v="24"/>
    <s v="18–25"/>
    <x v="1"/>
    <x v="1"/>
    <x v="3"/>
    <x v="19"/>
    <s v="2023-12-27"/>
    <x v="1"/>
    <n v="3"/>
    <n v="49423"/>
    <x v="2"/>
    <x v="0"/>
    <n v="10.67"/>
    <x v="1"/>
    <x v="3"/>
    <n v="2015"/>
    <x v="4"/>
  </r>
  <r>
    <s v="EMP0023"/>
    <s v="Nisha Iyer"/>
    <n v="30"/>
    <s v="26–35"/>
    <x v="0"/>
    <x v="3"/>
    <x v="3"/>
    <x v="20"/>
    <s v=" NA"/>
    <x v="0"/>
    <n v="3"/>
    <n v="63278"/>
    <x v="1"/>
    <x v="4"/>
    <n v="7.83"/>
    <x v="3"/>
    <x v="1"/>
    <n v="2018"/>
    <x v="0"/>
  </r>
  <r>
    <s v="EMP0024"/>
    <s v="Rahul Gupta"/>
    <n v="23"/>
    <s v="18–25"/>
    <x v="0"/>
    <x v="0"/>
    <x v="1"/>
    <x v="21"/>
    <s v=" NA"/>
    <x v="0"/>
    <n v="1"/>
    <n v="35362"/>
    <x v="2"/>
    <x v="0"/>
    <n v="12.25"/>
    <x v="0"/>
    <x v="3"/>
    <n v="2014"/>
    <x v="0"/>
  </r>
  <r>
    <s v="EMP0025"/>
    <s v="Priya Joshi"/>
    <n v="23"/>
    <s v="18–25"/>
    <x v="0"/>
    <x v="6"/>
    <x v="1"/>
    <x v="22"/>
    <s v="2026-03-19"/>
    <x v="1"/>
    <n v="3"/>
    <n v="30541"/>
    <x v="2"/>
    <x v="1"/>
    <n v="0.5"/>
    <x v="4"/>
    <x v="4"/>
    <n v="2026"/>
    <x v="1"/>
  </r>
  <r>
    <s v="EMP0026"/>
    <s v="Vikram Patel"/>
    <n v="22"/>
    <s v="18–25"/>
    <x v="0"/>
    <x v="6"/>
    <x v="0"/>
    <x v="23"/>
    <s v=" NA"/>
    <x v="0"/>
    <n v="4"/>
    <n v="49505"/>
    <x v="2"/>
    <x v="0"/>
    <n v="14.67"/>
    <x v="1"/>
    <x v="0"/>
    <n v="2012"/>
    <x v="0"/>
  </r>
  <r>
    <s v="EMP0027"/>
    <s v="Rahul Iyer"/>
    <n v="53"/>
    <s v="46–55"/>
    <x v="1"/>
    <x v="2"/>
    <x v="4"/>
    <x v="24"/>
    <s v=" NA"/>
    <x v="0"/>
    <n v="4"/>
    <n v="131953"/>
    <x v="0"/>
    <x v="2"/>
    <n v="3.75"/>
    <x v="1"/>
    <x v="4"/>
    <n v="2023"/>
    <x v="0"/>
  </r>
  <r>
    <s v="EMP0028"/>
    <s v="Kavya Nair"/>
    <n v="26"/>
    <s v="26–35"/>
    <x v="0"/>
    <x v="2"/>
    <x v="0"/>
    <x v="25"/>
    <s v=" NA"/>
    <x v="0"/>
    <n v="3"/>
    <n v="29697"/>
    <x v="4"/>
    <x v="0"/>
    <n v="12.92"/>
    <x v="2"/>
    <x v="4"/>
    <n v="2013"/>
    <x v="0"/>
  </r>
  <r>
    <s v="EMP0029"/>
    <s v="Pooja Jain"/>
    <n v="28"/>
    <s v="26–35"/>
    <x v="1"/>
    <x v="2"/>
    <x v="0"/>
    <x v="26"/>
    <s v="2025-10-03"/>
    <x v="1"/>
    <n v="2"/>
    <n v="28987"/>
    <x v="4"/>
    <x v="4"/>
    <n v="7.42"/>
    <x v="1"/>
    <x v="1"/>
    <n v="2019"/>
    <x v="5"/>
  </r>
  <r>
    <s v="EMP0030"/>
    <s v="Kavya Joshi"/>
    <n v="40"/>
    <s v="36–45"/>
    <x v="1"/>
    <x v="6"/>
    <x v="0"/>
    <x v="12"/>
    <s v=" NA"/>
    <x v="0"/>
    <n v="4"/>
    <n v="51306"/>
    <x v="1"/>
    <x v="1"/>
    <n v="0.08"/>
    <x v="3"/>
    <x v="6"/>
    <n v="2026"/>
    <x v="0"/>
  </r>
  <r>
    <s v="EMP0031"/>
    <s v="Vikram Reddy"/>
    <n v="26"/>
    <s v="26–35"/>
    <x v="1"/>
    <x v="0"/>
    <x v="1"/>
    <x v="27"/>
    <s v=" NA"/>
    <x v="0"/>
    <n v="3"/>
    <n v="66110"/>
    <x v="1"/>
    <x v="1"/>
    <n v="0.75"/>
    <x v="3"/>
    <x v="3"/>
    <n v="2026"/>
    <x v="0"/>
  </r>
  <r>
    <s v="EMP0032"/>
    <s v="Aisha Krishnan"/>
    <n v="29"/>
    <s v="26–35"/>
    <x v="1"/>
    <x v="5"/>
    <x v="0"/>
    <x v="28"/>
    <s v=" NA"/>
    <x v="0"/>
    <n v="3"/>
    <n v="61468"/>
    <x v="1"/>
    <x v="2"/>
    <n v="3.83"/>
    <x v="5"/>
    <x v="4"/>
    <n v="2022"/>
    <x v="0"/>
  </r>
  <r>
    <s v="EMP0033"/>
    <s v="Ishita Das"/>
    <n v="44"/>
    <s v="36–45"/>
    <x v="0"/>
    <x v="2"/>
    <x v="1"/>
    <x v="29"/>
    <s v=" NA"/>
    <x v="0"/>
    <n v="5"/>
    <n v="47600"/>
    <x v="2"/>
    <x v="3"/>
    <n v="1.33"/>
    <x v="1"/>
    <x v="2"/>
    <n v="2025"/>
    <x v="0"/>
  </r>
  <r>
    <s v="EMP0034"/>
    <s v="Arjun Nair"/>
    <n v="37"/>
    <s v="36–45"/>
    <x v="0"/>
    <x v="0"/>
    <x v="0"/>
    <x v="30"/>
    <s v=" NA"/>
    <x v="0"/>
    <n v="3"/>
    <n v="38352"/>
    <x v="2"/>
    <x v="4"/>
    <n v="9.58"/>
    <x v="2"/>
    <x v="2"/>
    <n v="2017"/>
    <x v="0"/>
  </r>
  <r>
    <s v="EMP0035"/>
    <s v="Meera Kannan"/>
    <n v="44"/>
    <s v="36–45"/>
    <x v="0"/>
    <x v="3"/>
    <x v="0"/>
    <x v="10"/>
    <s v=" NA"/>
    <x v="0"/>
    <n v="3"/>
    <n v="39930"/>
    <x v="2"/>
    <x v="4"/>
    <n v="5.33"/>
    <x v="0"/>
    <x v="3"/>
    <n v="2021"/>
    <x v="0"/>
  </r>
  <r>
    <s v="EMP0036"/>
    <s v="Aisha Kumar"/>
    <n v="25"/>
    <s v="18–25"/>
    <x v="1"/>
    <x v="2"/>
    <x v="1"/>
    <x v="31"/>
    <s v=" NA"/>
    <x v="0"/>
    <n v="4"/>
    <n v="69520"/>
    <x v="1"/>
    <x v="1"/>
    <n v="0.67"/>
    <x v="0"/>
    <x v="4"/>
    <n v="2026"/>
    <x v="0"/>
  </r>
  <r>
    <s v="EMP0037"/>
    <s v="Keerthi Krishnan"/>
    <n v="31"/>
    <s v="26–35"/>
    <x v="0"/>
    <x v="6"/>
    <x v="3"/>
    <x v="12"/>
    <s v=" NA"/>
    <x v="0"/>
    <n v="2"/>
    <n v="53610"/>
    <x v="1"/>
    <x v="1"/>
    <n v="0.08"/>
    <x v="5"/>
    <x v="7"/>
    <n v="2026"/>
    <x v="0"/>
  </r>
  <r>
    <s v="EMP0038"/>
    <s v="Kavya Menon"/>
    <n v="62"/>
    <s v="56+"/>
    <x v="0"/>
    <x v="1"/>
    <x v="3"/>
    <x v="32"/>
    <s v=" NA"/>
    <x v="0"/>
    <n v="4"/>
    <n v="44571"/>
    <x v="2"/>
    <x v="0"/>
    <n v="10.83"/>
    <x v="3"/>
    <x v="0"/>
    <n v="2015"/>
    <x v="0"/>
  </r>
  <r>
    <s v="EMP0039"/>
    <s v="Meera Shah"/>
    <n v="47"/>
    <s v="46–55"/>
    <x v="1"/>
    <x v="1"/>
    <x v="2"/>
    <x v="6"/>
    <s v=" NA"/>
    <x v="0"/>
    <n v="3"/>
    <n v="69024"/>
    <x v="1"/>
    <x v="1"/>
    <n v="0.92"/>
    <x v="1"/>
    <x v="0"/>
    <n v="2025"/>
    <x v="0"/>
  </r>
  <r>
    <s v="EMP0040"/>
    <s v="Pooja Kumar"/>
    <n v="44"/>
    <s v="36–45"/>
    <x v="1"/>
    <x v="2"/>
    <x v="3"/>
    <x v="33"/>
    <s v=" NA"/>
    <x v="0"/>
    <n v="1"/>
    <n v="73961"/>
    <x v="1"/>
    <x v="2"/>
    <n v="4.33"/>
    <x v="2"/>
    <x v="5"/>
    <n v="2022"/>
    <x v="0"/>
  </r>
  <r>
    <s v="EMP0041"/>
    <s v="Kiran Patel"/>
    <n v="25"/>
    <s v="18–25"/>
    <x v="0"/>
    <x v="3"/>
    <x v="2"/>
    <x v="34"/>
    <s v=" NA"/>
    <x v="0"/>
    <n v="4"/>
    <n v="27600"/>
    <x v="4"/>
    <x v="2"/>
    <n v="3.5"/>
    <x v="2"/>
    <x v="2"/>
    <n v="2023"/>
    <x v="0"/>
  </r>
  <r>
    <s v="EMP0042"/>
    <s v="Vikram Shah"/>
    <n v="27"/>
    <s v="26–35"/>
    <x v="1"/>
    <x v="2"/>
    <x v="0"/>
    <x v="35"/>
    <s v="2026-07-31"/>
    <x v="1"/>
    <n v="3"/>
    <n v="44798"/>
    <x v="2"/>
    <x v="1"/>
    <n v="0.33"/>
    <x v="3"/>
    <x v="0"/>
    <n v="2026"/>
    <x v="1"/>
  </r>
  <r>
    <s v="EMP0043"/>
    <s v="Kavya Jain"/>
    <n v="37"/>
    <s v="36–45"/>
    <x v="0"/>
    <x v="0"/>
    <x v="0"/>
    <x v="30"/>
    <s v=" NA"/>
    <x v="0"/>
    <n v="3"/>
    <n v="41216"/>
    <x v="2"/>
    <x v="4"/>
    <n v="9.58"/>
    <x v="2"/>
    <x v="3"/>
    <n v="2017"/>
    <x v="0"/>
  </r>
  <r>
    <s v="EMP0044"/>
    <s v="Sana Das"/>
    <n v="33"/>
    <s v="26–35"/>
    <x v="0"/>
    <x v="3"/>
    <x v="3"/>
    <x v="36"/>
    <s v=" NA"/>
    <x v="0"/>
    <n v="3"/>
    <n v="110621"/>
    <x v="0"/>
    <x v="4"/>
    <n v="9.08"/>
    <x v="0"/>
    <x v="6"/>
    <n v="2017"/>
    <x v="0"/>
  </r>
  <r>
    <s v="EMP0045"/>
    <s v="Suresh Rao"/>
    <n v="31"/>
    <s v="26–35"/>
    <x v="1"/>
    <x v="7"/>
    <x v="0"/>
    <x v="37"/>
    <s v="2025-03-04"/>
    <x v="1"/>
    <n v="4"/>
    <n v="170655"/>
    <x v="0"/>
    <x v="3"/>
    <n v="2.17"/>
    <x v="5"/>
    <x v="1"/>
    <n v="2024"/>
    <x v="5"/>
  </r>
  <r>
    <s v="EMP0046"/>
    <s v="Rahul Singh"/>
    <n v="31"/>
    <s v="26–35"/>
    <x v="1"/>
    <x v="3"/>
    <x v="0"/>
    <x v="38"/>
    <s v="2024-12-01"/>
    <x v="1"/>
    <n v="4"/>
    <n v="37329"/>
    <x v="2"/>
    <x v="3"/>
    <n v="1.92"/>
    <x v="2"/>
    <x v="1"/>
    <n v="2024"/>
    <x v="2"/>
  </r>
  <r>
    <s v="EMP0047"/>
    <s v="Rahul Das"/>
    <n v="40"/>
    <s v="36–45"/>
    <x v="0"/>
    <x v="4"/>
    <x v="0"/>
    <x v="39"/>
    <s v=" NA"/>
    <x v="0"/>
    <n v="3"/>
    <n v="73893"/>
    <x v="1"/>
    <x v="1"/>
    <n v="0.33"/>
    <x v="2"/>
    <x v="1"/>
    <n v="2026"/>
    <x v="0"/>
  </r>
  <r>
    <s v="EMP0048"/>
    <s v="Pooja Jain"/>
    <n v="29"/>
    <s v="26–35"/>
    <x v="1"/>
    <x v="3"/>
    <x v="3"/>
    <x v="40"/>
    <s v=" NA"/>
    <x v="0"/>
    <n v="5"/>
    <n v="88333"/>
    <x v="3"/>
    <x v="3"/>
    <n v="1.58"/>
    <x v="2"/>
    <x v="6"/>
    <n v="2025"/>
    <x v="0"/>
  </r>
  <r>
    <s v="EMP0049"/>
    <s v="Kiran Krishnan"/>
    <n v="40"/>
    <s v="36–45"/>
    <x v="1"/>
    <x v="3"/>
    <x v="3"/>
    <x v="41"/>
    <s v=" NA"/>
    <x v="0"/>
    <n v="4"/>
    <n v="35067"/>
    <x v="2"/>
    <x v="2"/>
    <n v="3.42"/>
    <x v="4"/>
    <x v="4"/>
    <n v="2023"/>
    <x v="0"/>
  </r>
  <r>
    <s v="EMP0050"/>
    <s v="Priya Joshi"/>
    <n v="30"/>
    <s v="26–35"/>
    <x v="0"/>
    <x v="1"/>
    <x v="0"/>
    <x v="42"/>
    <s v=" NA"/>
    <x v="0"/>
    <n v="3"/>
    <n v="37300"/>
    <x v="2"/>
    <x v="1"/>
    <n v="0.17"/>
    <x v="0"/>
    <x v="1"/>
    <n v="2026"/>
    <x v="0"/>
  </r>
  <r>
    <s v="EMP0051"/>
    <s v="Ananya Shah"/>
    <n v="26"/>
    <s v="26–35"/>
    <x v="1"/>
    <x v="6"/>
    <x v="1"/>
    <x v="43"/>
    <s v=" NA"/>
    <x v="0"/>
    <n v="5"/>
    <n v="57825"/>
    <x v="1"/>
    <x v="3"/>
    <n v="2.67"/>
    <x v="0"/>
    <x v="3"/>
    <n v="2024"/>
    <x v="0"/>
  </r>
  <r>
    <s v="EMP0052"/>
    <s v="Rahul Nair"/>
    <n v="50"/>
    <s v="46–55"/>
    <x v="0"/>
    <x v="6"/>
    <x v="1"/>
    <x v="39"/>
    <s v=" NA"/>
    <x v="0"/>
    <n v="4"/>
    <n v="88030"/>
    <x v="3"/>
    <x v="1"/>
    <n v="0.33"/>
    <x v="2"/>
    <x v="4"/>
    <n v="2026"/>
    <x v="0"/>
  </r>
  <r>
    <s v="EMP0053"/>
    <s v="Divya Krishnan"/>
    <n v="34"/>
    <s v="26–35"/>
    <x v="0"/>
    <x v="2"/>
    <x v="0"/>
    <x v="44"/>
    <s v=" NA"/>
    <x v="0"/>
    <n v="3"/>
    <n v="39053"/>
    <x v="2"/>
    <x v="3"/>
    <n v="2.58"/>
    <x v="3"/>
    <x v="6"/>
    <n v="2024"/>
    <x v="0"/>
  </r>
  <r>
    <s v="EMP0054"/>
    <s v="Rohan Gupta"/>
    <n v="32"/>
    <s v="26–35"/>
    <x v="0"/>
    <x v="1"/>
    <x v="3"/>
    <x v="45"/>
    <s v="2025-10-08"/>
    <x v="1"/>
    <n v="1"/>
    <n v="57785"/>
    <x v="1"/>
    <x v="3"/>
    <n v="1.25"/>
    <x v="3"/>
    <x v="5"/>
    <n v="2025"/>
    <x v="5"/>
  </r>
  <r>
    <s v="EMP0055"/>
    <s v="Neha Menon"/>
    <n v="62"/>
    <s v="56+"/>
    <x v="1"/>
    <x v="0"/>
    <x v="3"/>
    <x v="46"/>
    <s v=" NA"/>
    <x v="0"/>
    <n v="3"/>
    <n v="97959"/>
    <x v="3"/>
    <x v="3"/>
    <n v="1.5"/>
    <x v="2"/>
    <x v="6"/>
    <n v="2025"/>
    <x v="0"/>
  </r>
  <r>
    <s v="EMP0056"/>
    <s v="Priya Verma"/>
    <n v="21"/>
    <s v="18–25"/>
    <x v="0"/>
    <x v="3"/>
    <x v="1"/>
    <x v="47"/>
    <s v=" NA"/>
    <x v="0"/>
    <n v="4"/>
    <n v="56318"/>
    <x v="1"/>
    <x v="2"/>
    <n v="3.92"/>
    <x v="2"/>
    <x v="2"/>
    <n v="2022"/>
    <x v="0"/>
  </r>
  <r>
    <s v="EMP0057"/>
    <s v="Ishita Joshi"/>
    <n v="42"/>
    <s v="36–45"/>
    <x v="1"/>
    <x v="5"/>
    <x v="0"/>
    <x v="28"/>
    <s v=" NA"/>
    <x v="0"/>
    <n v="2"/>
    <n v="102812"/>
    <x v="0"/>
    <x v="2"/>
    <n v="3.83"/>
    <x v="1"/>
    <x v="2"/>
    <n v="2022"/>
    <x v="0"/>
  </r>
  <r>
    <s v="EMP0058"/>
    <s v="Vikram Gupta"/>
    <n v="26"/>
    <s v="26–35"/>
    <x v="1"/>
    <x v="2"/>
    <x v="1"/>
    <x v="7"/>
    <s v=" NA"/>
    <x v="0"/>
    <n v="1"/>
    <n v="72373"/>
    <x v="1"/>
    <x v="1"/>
    <n v="0.25"/>
    <x v="3"/>
    <x v="6"/>
    <n v="2026"/>
    <x v="0"/>
  </r>
  <r>
    <s v="EMP0059"/>
    <s v="Ishita Verma"/>
    <n v="44"/>
    <s v="36–45"/>
    <x v="0"/>
    <x v="3"/>
    <x v="2"/>
    <x v="42"/>
    <s v=" NA"/>
    <x v="0"/>
    <n v="2"/>
    <n v="20796"/>
    <x v="4"/>
    <x v="1"/>
    <n v="0.17"/>
    <x v="2"/>
    <x v="2"/>
    <n v="2026"/>
    <x v="0"/>
  </r>
  <r>
    <s v="EMP0060"/>
    <s v="Neha Krishnan"/>
    <n v="52"/>
    <s v="46–55"/>
    <x v="0"/>
    <x v="1"/>
    <x v="4"/>
    <x v="11"/>
    <s v=" NA"/>
    <x v="0"/>
    <n v="3"/>
    <n v="40488"/>
    <x v="2"/>
    <x v="1"/>
    <n v="0.42"/>
    <x v="0"/>
    <x v="3"/>
    <n v="2026"/>
    <x v="0"/>
  </r>
  <r>
    <s v="EMP0061"/>
    <s v="Aarav Iyer"/>
    <n v="54"/>
    <s v="46–55"/>
    <x v="0"/>
    <x v="3"/>
    <x v="0"/>
    <x v="28"/>
    <s v=" NA"/>
    <x v="0"/>
    <n v="5"/>
    <n v="37517"/>
    <x v="2"/>
    <x v="2"/>
    <n v="3.83"/>
    <x v="4"/>
    <x v="4"/>
    <n v="2022"/>
    <x v="0"/>
  </r>
  <r>
    <s v="EMP0062"/>
    <s v="Sana Patel"/>
    <n v="27"/>
    <s v="26–35"/>
    <x v="1"/>
    <x v="2"/>
    <x v="1"/>
    <x v="29"/>
    <s v=" NA"/>
    <x v="0"/>
    <n v="4"/>
    <n v="18066"/>
    <x v="4"/>
    <x v="3"/>
    <n v="1.33"/>
    <x v="0"/>
    <x v="3"/>
    <n v="2025"/>
    <x v="0"/>
  </r>
  <r>
    <s v="EMP0063"/>
    <s v="Sana Iyer"/>
    <n v="47"/>
    <s v="46–55"/>
    <x v="1"/>
    <x v="7"/>
    <x v="3"/>
    <x v="48"/>
    <s v=" NA"/>
    <x v="0"/>
    <n v="4"/>
    <n v="123743"/>
    <x v="0"/>
    <x v="1"/>
    <n v="0.5"/>
    <x v="0"/>
    <x v="2"/>
    <n v="2026"/>
    <x v="0"/>
  </r>
  <r>
    <s v="EMP0064"/>
    <s v="Arjun Shah"/>
    <n v="27"/>
    <s v="26–35"/>
    <x v="0"/>
    <x v="3"/>
    <x v="0"/>
    <x v="29"/>
    <s v=" NA"/>
    <x v="0"/>
    <n v="2"/>
    <n v="19402"/>
    <x v="4"/>
    <x v="3"/>
    <n v="1.33"/>
    <x v="5"/>
    <x v="7"/>
    <n v="2025"/>
    <x v="0"/>
  </r>
  <r>
    <s v="EMP0065"/>
    <s v="Sana Kumar"/>
    <n v="28"/>
    <s v="26–35"/>
    <x v="0"/>
    <x v="1"/>
    <x v="0"/>
    <x v="49"/>
    <s v="2025-11-15"/>
    <x v="1"/>
    <n v="3"/>
    <n v="84368"/>
    <x v="3"/>
    <x v="3"/>
    <n v="1.17"/>
    <x v="0"/>
    <x v="5"/>
    <n v="2025"/>
    <x v="5"/>
  </r>
  <r>
    <s v="EMP0066"/>
    <s v="Nisha Iyer"/>
    <n v="32"/>
    <s v="26–35"/>
    <x v="1"/>
    <x v="1"/>
    <x v="0"/>
    <x v="50"/>
    <s v=" NA"/>
    <x v="0"/>
    <n v="3"/>
    <n v="91966"/>
    <x v="3"/>
    <x v="2"/>
    <n v="4.08"/>
    <x v="1"/>
    <x v="2"/>
    <n v="2022"/>
    <x v="0"/>
  </r>
  <r>
    <s v="EMP0067"/>
    <s v="Ananya Verma"/>
    <n v="22"/>
    <s v="18–25"/>
    <x v="0"/>
    <x v="0"/>
    <x v="0"/>
    <x v="12"/>
    <s v=" NA"/>
    <x v="0"/>
    <n v="3"/>
    <n v="32126"/>
    <x v="2"/>
    <x v="1"/>
    <n v="0.08"/>
    <x v="3"/>
    <x v="0"/>
    <n v="2026"/>
    <x v="0"/>
  </r>
  <r>
    <s v="EMP0068"/>
    <s v="Arjun  Kannan"/>
    <n v="41"/>
    <s v="36–45"/>
    <x v="0"/>
    <x v="1"/>
    <x v="0"/>
    <x v="51"/>
    <s v=" NA"/>
    <x v="0"/>
    <n v="4"/>
    <n v="65606"/>
    <x v="1"/>
    <x v="3"/>
    <n v="2"/>
    <x v="0"/>
    <x v="4"/>
    <n v="2024"/>
    <x v="0"/>
  </r>
  <r>
    <s v="EMP0069"/>
    <s v="Sana Gupta"/>
    <n v="62"/>
    <s v="56+"/>
    <x v="1"/>
    <x v="2"/>
    <x v="4"/>
    <x v="52"/>
    <s v=" NA"/>
    <x v="0"/>
    <n v="3"/>
    <n v="164506"/>
    <x v="0"/>
    <x v="3"/>
    <n v="2.08"/>
    <x v="1"/>
    <x v="0"/>
    <n v="2024"/>
    <x v="0"/>
  </r>
  <r>
    <s v="EMP0070"/>
    <s v="Sana Patel"/>
    <n v="25"/>
    <s v="18–25"/>
    <x v="0"/>
    <x v="7"/>
    <x v="3"/>
    <x v="53"/>
    <s v=" NA"/>
    <x v="0"/>
    <n v="3"/>
    <n v="35630"/>
    <x v="2"/>
    <x v="3"/>
    <n v="2.42"/>
    <x v="4"/>
    <x v="2"/>
    <n v="2024"/>
    <x v="0"/>
  </r>
  <r>
    <s v="EMP0071"/>
    <s v="Vikram Bose"/>
    <n v="30"/>
    <s v="26–35"/>
    <x v="1"/>
    <x v="5"/>
    <x v="0"/>
    <x v="50"/>
    <s v=" NA"/>
    <x v="0"/>
    <n v="3"/>
    <n v="23884"/>
    <x v="4"/>
    <x v="2"/>
    <n v="4.08"/>
    <x v="1"/>
    <x v="5"/>
    <n v="2022"/>
    <x v="0"/>
  </r>
  <r>
    <s v="EMP0072"/>
    <s v="Divya Menon"/>
    <n v="28"/>
    <s v="26–35"/>
    <x v="0"/>
    <x v="1"/>
    <x v="0"/>
    <x v="54"/>
    <s v="2026-09-21"/>
    <x v="1"/>
    <n v="2"/>
    <n v="34406"/>
    <x v="2"/>
    <x v="1"/>
    <n v="0.57999999999999996"/>
    <x v="0"/>
    <x v="5"/>
    <n v="2026"/>
    <x v="1"/>
  </r>
  <r>
    <s v="EMP0073"/>
    <s v="Ishita Singh"/>
    <n v="48"/>
    <s v="46–55"/>
    <x v="1"/>
    <x v="1"/>
    <x v="3"/>
    <x v="7"/>
    <s v=" NA"/>
    <x v="0"/>
    <n v="3"/>
    <n v="54983"/>
    <x v="1"/>
    <x v="1"/>
    <n v="0.25"/>
    <x v="1"/>
    <x v="3"/>
    <n v="2026"/>
    <x v="0"/>
  </r>
  <r>
    <s v="EMP0074"/>
    <s v="Anil Kumar"/>
    <n v="27"/>
    <s v="26–35"/>
    <x v="0"/>
    <x v="1"/>
    <x v="0"/>
    <x v="55"/>
    <s v=" NA"/>
    <x v="0"/>
    <n v="1"/>
    <n v="83824"/>
    <x v="3"/>
    <x v="0"/>
    <n v="15.83"/>
    <x v="4"/>
    <x v="7"/>
    <n v="2010"/>
    <x v="0"/>
  </r>
  <r>
    <s v="EMP0075"/>
    <s v="Rohan Singh"/>
    <n v="37"/>
    <s v="36–45"/>
    <x v="0"/>
    <x v="0"/>
    <x v="0"/>
    <x v="56"/>
    <s v=" NA"/>
    <x v="0"/>
    <n v="3"/>
    <n v="54830"/>
    <x v="1"/>
    <x v="2"/>
    <n v="4.42"/>
    <x v="1"/>
    <x v="1"/>
    <n v="2022"/>
    <x v="0"/>
  </r>
  <r>
    <s v="EMP0076"/>
    <s v="Kiran Shah"/>
    <n v="26"/>
    <s v="26–35"/>
    <x v="0"/>
    <x v="5"/>
    <x v="1"/>
    <x v="57"/>
    <s v="2023-11-20"/>
    <x v="1"/>
    <n v="3"/>
    <n v="21639"/>
    <x v="4"/>
    <x v="2"/>
    <n v="3.17"/>
    <x v="0"/>
    <x v="3"/>
    <n v="2023"/>
    <x v="4"/>
  </r>
  <r>
    <s v="EMP0077"/>
    <s v="Meera Sharma"/>
    <n v="22"/>
    <s v="18–25"/>
    <x v="0"/>
    <x v="2"/>
    <x v="2"/>
    <x v="28"/>
    <s v=" NA"/>
    <x v="0"/>
    <n v="4"/>
    <n v="22606"/>
    <x v="4"/>
    <x v="2"/>
    <n v="3.83"/>
    <x v="1"/>
    <x v="7"/>
    <n v="2022"/>
    <x v="0"/>
  </r>
  <r>
    <s v="EMP0078"/>
    <s v="Rohan Nair"/>
    <n v="35"/>
    <s v="26–35"/>
    <x v="1"/>
    <x v="7"/>
    <x v="3"/>
    <x v="58"/>
    <s v="2021-12-08"/>
    <x v="1"/>
    <n v="4"/>
    <n v="39598"/>
    <x v="2"/>
    <x v="4"/>
    <n v="5.42"/>
    <x v="0"/>
    <x v="1"/>
    <n v="2021"/>
    <x v="6"/>
  </r>
  <r>
    <s v="EMP0079"/>
    <s v="Kavya Kannan"/>
    <n v="42"/>
    <s v="36–45"/>
    <x v="0"/>
    <x v="1"/>
    <x v="0"/>
    <x v="13"/>
    <s v=" NA"/>
    <x v="0"/>
    <n v="3"/>
    <n v="18040"/>
    <x v="4"/>
    <x v="3"/>
    <n v="2.83"/>
    <x v="2"/>
    <x v="5"/>
    <n v="2023"/>
    <x v="0"/>
  </r>
  <r>
    <s v="EMP0080"/>
    <s v="Neha Nair"/>
    <n v="55"/>
    <s v="46–55"/>
    <x v="1"/>
    <x v="6"/>
    <x v="1"/>
    <x v="41"/>
    <s v=" NA"/>
    <x v="0"/>
    <n v="3"/>
    <n v="75174"/>
    <x v="3"/>
    <x v="2"/>
    <n v="3.42"/>
    <x v="0"/>
    <x v="0"/>
    <n v="2023"/>
    <x v="0"/>
  </r>
  <r>
    <s v="EMP0081"/>
    <s v="Neha Iyer"/>
    <n v="24"/>
    <s v="18–25"/>
    <x v="0"/>
    <x v="3"/>
    <x v="1"/>
    <x v="59"/>
    <s v=" NA"/>
    <x v="0"/>
    <n v="4"/>
    <n v="73894"/>
    <x v="1"/>
    <x v="3"/>
    <n v="1.92"/>
    <x v="3"/>
    <x v="6"/>
    <n v="2024"/>
    <x v="0"/>
  </r>
  <r>
    <s v="EMP0082"/>
    <s v="Sana Reddy"/>
    <n v="45"/>
    <s v="36–45"/>
    <x v="1"/>
    <x v="5"/>
    <x v="1"/>
    <x v="60"/>
    <s v="2024-06-01"/>
    <x v="1"/>
    <n v="1"/>
    <n v="58186"/>
    <x v="1"/>
    <x v="3"/>
    <n v="2.92"/>
    <x v="1"/>
    <x v="0"/>
    <n v="2023"/>
    <x v="2"/>
  </r>
  <r>
    <s v="EMP0083"/>
    <s v="Suresh Reddy"/>
    <n v="60"/>
    <s v="56+"/>
    <x v="0"/>
    <x v="1"/>
    <x v="1"/>
    <x v="61"/>
    <s v="2017-12-25"/>
    <x v="1"/>
    <n v="3"/>
    <n v="27070"/>
    <x v="4"/>
    <x v="0"/>
    <n v="11.58"/>
    <x v="2"/>
    <x v="4"/>
    <n v="2014"/>
    <x v="7"/>
  </r>
  <r>
    <s v="EMP0084"/>
    <s v="Anil Nair"/>
    <n v="62"/>
    <s v="56+"/>
    <x v="1"/>
    <x v="0"/>
    <x v="0"/>
    <x v="62"/>
    <s v=" NA"/>
    <x v="0"/>
    <n v="3"/>
    <n v="24715"/>
    <x v="4"/>
    <x v="4"/>
    <n v="8.33"/>
    <x v="1"/>
    <x v="7"/>
    <n v="2018"/>
    <x v="0"/>
  </r>
  <r>
    <s v="EMP0085"/>
    <s v="Rahul Menon"/>
    <n v="30"/>
    <s v="26–35"/>
    <x v="1"/>
    <x v="2"/>
    <x v="2"/>
    <x v="59"/>
    <s v=" NA"/>
    <x v="0"/>
    <n v="4"/>
    <n v="27142"/>
    <x v="4"/>
    <x v="3"/>
    <n v="1.92"/>
    <x v="1"/>
    <x v="7"/>
    <n v="2024"/>
    <x v="0"/>
  </r>
  <r>
    <s v="EMP0086"/>
    <s v="Rahul Gupta"/>
    <n v="29"/>
    <s v="26–35"/>
    <x v="0"/>
    <x v="3"/>
    <x v="0"/>
    <x v="63"/>
    <s v=" NA"/>
    <x v="0"/>
    <n v="3"/>
    <n v="39628"/>
    <x v="2"/>
    <x v="4"/>
    <n v="8.08"/>
    <x v="0"/>
    <x v="3"/>
    <n v="2018"/>
    <x v="0"/>
  </r>
  <r>
    <s v="EMP0087"/>
    <s v="Ishita Kumar"/>
    <n v="38"/>
    <s v="36–45"/>
    <x v="0"/>
    <x v="1"/>
    <x v="0"/>
    <x v="33"/>
    <s v=" NA"/>
    <x v="0"/>
    <n v="1"/>
    <n v="35848"/>
    <x v="2"/>
    <x v="2"/>
    <n v="4.33"/>
    <x v="1"/>
    <x v="0"/>
    <n v="2022"/>
    <x v="0"/>
  </r>
  <r>
    <s v="EMP0088"/>
    <s v="Meera Jain"/>
    <n v="36"/>
    <s v="36–45"/>
    <x v="0"/>
    <x v="0"/>
    <x v="4"/>
    <x v="52"/>
    <s v=" NA"/>
    <x v="0"/>
    <n v="3"/>
    <n v="66432"/>
    <x v="1"/>
    <x v="3"/>
    <n v="2.08"/>
    <x v="0"/>
    <x v="0"/>
    <n v="2024"/>
    <x v="0"/>
  </r>
  <r>
    <s v="EMP0089"/>
    <s v="Naveen Iyer"/>
    <n v="36"/>
    <s v="36–45"/>
    <x v="1"/>
    <x v="2"/>
    <x v="0"/>
    <x v="64"/>
    <s v=" NA"/>
    <x v="0"/>
    <n v="2"/>
    <n v="49036"/>
    <x v="2"/>
    <x v="2"/>
    <n v="3.67"/>
    <x v="3"/>
    <x v="7"/>
    <n v="2023"/>
    <x v="0"/>
  </r>
  <r>
    <s v="EMP0090"/>
    <s v="Manoj Sharma"/>
    <n v="40"/>
    <s v="36–45"/>
    <x v="0"/>
    <x v="2"/>
    <x v="2"/>
    <x v="65"/>
    <s v=" NA"/>
    <x v="0"/>
    <n v="3"/>
    <n v="40132"/>
    <x v="2"/>
    <x v="0"/>
    <n v="12.58"/>
    <x v="5"/>
    <x v="6"/>
    <n v="2014"/>
    <x v="0"/>
  </r>
  <r>
    <s v="EMP0091"/>
    <s v="Lakshmi Verma"/>
    <n v="33"/>
    <s v="26–35"/>
    <x v="1"/>
    <x v="0"/>
    <x v="0"/>
    <x v="11"/>
    <s v=" NA"/>
    <x v="0"/>
    <n v="2"/>
    <n v="31050"/>
    <x v="2"/>
    <x v="1"/>
    <n v="0.42"/>
    <x v="2"/>
    <x v="4"/>
    <n v="2026"/>
    <x v="0"/>
  </r>
  <r>
    <s v="EMP0092"/>
    <s v="Aditya Bose"/>
    <n v="34"/>
    <s v="26–35"/>
    <x v="0"/>
    <x v="6"/>
    <x v="4"/>
    <x v="7"/>
    <s v=" NA"/>
    <x v="0"/>
    <n v="2"/>
    <n v="120555"/>
    <x v="0"/>
    <x v="1"/>
    <n v="0.25"/>
    <x v="2"/>
    <x v="0"/>
    <n v="2026"/>
    <x v="0"/>
  </r>
  <r>
    <s v="EMP0093"/>
    <s v="Naveen Shah"/>
    <n v="28"/>
    <s v="26–35"/>
    <x v="0"/>
    <x v="2"/>
    <x v="1"/>
    <x v="48"/>
    <s v=" NA"/>
    <x v="0"/>
    <n v="4"/>
    <n v="136842"/>
    <x v="0"/>
    <x v="1"/>
    <n v="0.5"/>
    <x v="4"/>
    <x v="6"/>
    <n v="2026"/>
    <x v="0"/>
  </r>
  <r>
    <s v="EMP0094"/>
    <s v="Pooja Kannan"/>
    <n v="29"/>
    <s v="26–35"/>
    <x v="1"/>
    <x v="7"/>
    <x v="2"/>
    <x v="48"/>
    <s v=" NA"/>
    <x v="0"/>
    <n v="3"/>
    <n v="31086"/>
    <x v="2"/>
    <x v="1"/>
    <n v="0.5"/>
    <x v="3"/>
    <x v="0"/>
    <n v="2026"/>
    <x v="0"/>
  </r>
  <r>
    <s v="EMP0095"/>
    <s v="Rohan Singh"/>
    <n v="35"/>
    <s v="26–35"/>
    <x v="0"/>
    <x v="2"/>
    <x v="0"/>
    <x v="66"/>
    <s v=" NA"/>
    <x v="0"/>
    <n v="4"/>
    <n v="95124"/>
    <x v="3"/>
    <x v="1"/>
    <n v="0.57999999999999996"/>
    <x v="1"/>
    <x v="3"/>
    <n v="2026"/>
    <x v="0"/>
  </r>
  <r>
    <s v="EMP0096"/>
    <s v="Arjun Shah"/>
    <n v="24"/>
    <s v="18–25"/>
    <x v="0"/>
    <x v="4"/>
    <x v="1"/>
    <x v="27"/>
    <s v=" NA"/>
    <x v="0"/>
    <n v="2"/>
    <n v="103901"/>
    <x v="0"/>
    <x v="1"/>
    <n v="0.75"/>
    <x v="5"/>
    <x v="0"/>
    <n v="2026"/>
    <x v="0"/>
  </r>
  <r>
    <s v="EMP0097"/>
    <s v="Arjun Shah"/>
    <n v="57"/>
    <s v="56+"/>
    <x v="0"/>
    <x v="2"/>
    <x v="2"/>
    <x v="67"/>
    <s v="2016-03-25"/>
    <x v="1"/>
    <n v="4"/>
    <n v="45378"/>
    <x v="2"/>
    <x v="0"/>
    <n v="15.5"/>
    <x v="0"/>
    <x v="7"/>
    <n v="2011"/>
    <x v="8"/>
  </r>
  <r>
    <s v="EMP0098"/>
    <s v="Suresh Verma"/>
    <n v="32"/>
    <s v="26–35"/>
    <x v="0"/>
    <x v="0"/>
    <x v="0"/>
    <x v="47"/>
    <s v=" NA"/>
    <x v="0"/>
    <n v="5"/>
    <n v="56439"/>
    <x v="1"/>
    <x v="2"/>
    <n v="3.92"/>
    <x v="1"/>
    <x v="7"/>
    <n v="2022"/>
    <x v="0"/>
  </r>
  <r>
    <s v="EMP0099"/>
    <s v="Keerthi Menon"/>
    <n v="32"/>
    <s v="26–35"/>
    <x v="1"/>
    <x v="7"/>
    <x v="1"/>
    <x v="31"/>
    <s v=" NA"/>
    <x v="0"/>
    <n v="3"/>
    <n v="36650"/>
    <x v="2"/>
    <x v="1"/>
    <n v="0.67"/>
    <x v="0"/>
    <x v="7"/>
    <n v="2026"/>
    <x v="0"/>
  </r>
  <r>
    <s v="EMP0100"/>
    <s v="Meera Gupta"/>
    <n v="31"/>
    <s v="26–35"/>
    <x v="1"/>
    <x v="1"/>
    <x v="0"/>
    <x v="4"/>
    <s v=" NA"/>
    <x v="0"/>
    <n v="4"/>
    <n v="19216"/>
    <x v="4"/>
    <x v="3"/>
    <n v="1.08"/>
    <x v="2"/>
    <x v="5"/>
    <n v="2025"/>
    <x v="0"/>
  </r>
  <r>
    <s v="EMP0101"/>
    <s v="Kavya Joshi"/>
    <n v="38"/>
    <s v="36–45"/>
    <x v="0"/>
    <x v="5"/>
    <x v="2"/>
    <x v="1"/>
    <s v=" NA"/>
    <x v="0"/>
    <n v="3"/>
    <n v="19405"/>
    <x v="4"/>
    <x v="0"/>
    <n v="14.17"/>
    <x v="0"/>
    <x v="5"/>
    <n v="2012"/>
    <x v="0"/>
  </r>
  <r>
    <s v="EMP0102"/>
    <s v="Nisha Iyer"/>
    <n v="21"/>
    <s v="18–25"/>
    <x v="0"/>
    <x v="2"/>
    <x v="4"/>
    <x v="68"/>
    <s v=" NA"/>
    <x v="0"/>
    <n v="1"/>
    <n v="27516"/>
    <x v="4"/>
    <x v="0"/>
    <n v="13.5"/>
    <x v="2"/>
    <x v="0"/>
    <n v="2013"/>
    <x v="0"/>
  </r>
  <r>
    <s v="EMP0103"/>
    <s v="Lakshmi Kumar"/>
    <n v="21"/>
    <s v="18–25"/>
    <x v="0"/>
    <x v="7"/>
    <x v="1"/>
    <x v="69"/>
    <s v=" NA"/>
    <x v="0"/>
    <n v="4"/>
    <n v="20247"/>
    <x v="4"/>
    <x v="4"/>
    <n v="5.42"/>
    <x v="0"/>
    <x v="7"/>
    <n v="2021"/>
    <x v="0"/>
  </r>
  <r>
    <s v="EMP0104"/>
    <s v="Aarav Das"/>
    <n v="33"/>
    <s v="26–35"/>
    <x v="1"/>
    <x v="2"/>
    <x v="0"/>
    <x v="70"/>
    <s v=" NA"/>
    <x v="0"/>
    <n v="3"/>
    <n v="73182"/>
    <x v="1"/>
    <x v="4"/>
    <n v="9.17"/>
    <x v="1"/>
    <x v="2"/>
    <n v="2017"/>
    <x v="0"/>
  </r>
  <r>
    <s v="EMP0105"/>
    <s v="Kavya Rao"/>
    <n v="23"/>
    <s v="18–25"/>
    <x v="1"/>
    <x v="2"/>
    <x v="1"/>
    <x v="71"/>
    <s v=" NA"/>
    <x v="0"/>
    <n v="2"/>
    <n v="62103"/>
    <x v="1"/>
    <x v="4"/>
    <n v="6.5"/>
    <x v="4"/>
    <x v="5"/>
    <n v="2020"/>
    <x v="0"/>
  </r>
  <r>
    <s v="EMP0106"/>
    <s v="Ananya Nair"/>
    <n v="40"/>
    <s v="36–45"/>
    <x v="1"/>
    <x v="2"/>
    <x v="3"/>
    <x v="72"/>
    <s v=" NA"/>
    <x v="0"/>
    <n v="3"/>
    <n v="169356"/>
    <x v="0"/>
    <x v="4"/>
    <n v="7.08"/>
    <x v="0"/>
    <x v="2"/>
    <n v="2019"/>
    <x v="0"/>
  </r>
  <r>
    <s v="EMP0107"/>
    <s v="Ananya Nair"/>
    <n v="45"/>
    <s v="36–45"/>
    <x v="0"/>
    <x v="1"/>
    <x v="0"/>
    <x v="73"/>
    <s v=" NA"/>
    <x v="0"/>
    <n v="5"/>
    <n v="71523"/>
    <x v="1"/>
    <x v="4"/>
    <n v="7.5"/>
    <x v="5"/>
    <x v="3"/>
    <n v="2019"/>
    <x v="0"/>
  </r>
  <r>
    <s v="EMP0108"/>
    <s v="Suresh Iyer"/>
    <n v="52"/>
    <s v="46–55"/>
    <x v="1"/>
    <x v="2"/>
    <x v="0"/>
    <x v="56"/>
    <s v=" NA"/>
    <x v="0"/>
    <n v="2"/>
    <n v="43711"/>
    <x v="2"/>
    <x v="2"/>
    <n v="4.42"/>
    <x v="5"/>
    <x v="6"/>
    <n v="2022"/>
    <x v="0"/>
  </r>
  <r>
    <s v="EMP0109"/>
    <s v="Vikram Singh"/>
    <n v="35"/>
    <s v="26–35"/>
    <x v="0"/>
    <x v="2"/>
    <x v="0"/>
    <x v="74"/>
    <s v=" NA"/>
    <x v="0"/>
    <n v="3"/>
    <n v="42167"/>
    <x v="2"/>
    <x v="3"/>
    <n v="2.33"/>
    <x v="4"/>
    <x v="6"/>
    <n v="2024"/>
    <x v="0"/>
  </r>
  <r>
    <s v="EMP0110"/>
    <s v="Rohan Gupta"/>
    <n v="35"/>
    <s v="26–35"/>
    <x v="0"/>
    <x v="0"/>
    <x v="1"/>
    <x v="75"/>
    <s v="2022-10-23"/>
    <x v="1"/>
    <n v="2"/>
    <n v="119593"/>
    <x v="0"/>
    <x v="4"/>
    <n v="5.42"/>
    <x v="2"/>
    <x v="0"/>
    <n v="2021"/>
    <x v="3"/>
  </r>
  <r>
    <s v="EMP0111"/>
    <s v="Nisha Gupta"/>
    <n v="49"/>
    <s v="46–55"/>
    <x v="0"/>
    <x v="5"/>
    <x v="2"/>
    <x v="52"/>
    <s v=" NA"/>
    <x v="0"/>
    <n v="3"/>
    <n v="41079"/>
    <x v="2"/>
    <x v="3"/>
    <n v="2.08"/>
    <x v="1"/>
    <x v="6"/>
    <n v="2024"/>
    <x v="0"/>
  </r>
  <r>
    <s v="EMP0112"/>
    <s v="Anil Shah"/>
    <n v="32"/>
    <s v="26–35"/>
    <x v="0"/>
    <x v="7"/>
    <x v="4"/>
    <x v="76"/>
    <s v=" NA"/>
    <x v="0"/>
    <n v="3"/>
    <n v="47653"/>
    <x v="2"/>
    <x v="0"/>
    <n v="13.42"/>
    <x v="3"/>
    <x v="0"/>
    <n v="2013"/>
    <x v="0"/>
  </r>
  <r>
    <s v="EMP0113"/>
    <s v="Aarav Jain"/>
    <n v="38"/>
    <s v="36–45"/>
    <x v="1"/>
    <x v="5"/>
    <x v="0"/>
    <x v="51"/>
    <s v=" NA"/>
    <x v="0"/>
    <n v="3"/>
    <n v="64543"/>
    <x v="1"/>
    <x v="3"/>
    <n v="2"/>
    <x v="4"/>
    <x v="7"/>
    <n v="2024"/>
    <x v="0"/>
  </r>
  <r>
    <s v="EMP0114"/>
    <s v="Aarav Nair"/>
    <n v="29"/>
    <s v="26–35"/>
    <x v="0"/>
    <x v="6"/>
    <x v="0"/>
    <x v="77"/>
    <s v=" NA"/>
    <x v="0"/>
    <n v="4"/>
    <n v="35273"/>
    <x v="2"/>
    <x v="4"/>
    <n v="5.92"/>
    <x v="4"/>
    <x v="0"/>
    <n v="2020"/>
    <x v="0"/>
  </r>
  <r>
    <s v="EMP0115"/>
    <s v="Ishita Kumar"/>
    <n v="55"/>
    <s v="46–55"/>
    <x v="0"/>
    <x v="7"/>
    <x v="3"/>
    <x v="78"/>
    <s v="2026-09-14"/>
    <x v="1"/>
    <n v="5"/>
    <n v="18341"/>
    <x v="4"/>
    <x v="1"/>
    <n v="0.33"/>
    <x v="1"/>
    <x v="6"/>
    <n v="2026"/>
    <x v="1"/>
  </r>
  <r>
    <s v="EMP0116"/>
    <s v="Sanjay Jain"/>
    <n v="51"/>
    <s v="46–55"/>
    <x v="1"/>
    <x v="4"/>
    <x v="3"/>
    <x v="79"/>
    <s v=" NA"/>
    <x v="0"/>
    <n v="3"/>
    <n v="24128"/>
    <x v="4"/>
    <x v="2"/>
    <n v="5"/>
    <x v="2"/>
    <x v="1"/>
    <n v="2021"/>
    <x v="0"/>
  </r>
  <r>
    <s v="EMP0117"/>
    <s v="Naveen Shah"/>
    <n v="28"/>
    <s v="26–35"/>
    <x v="1"/>
    <x v="4"/>
    <x v="0"/>
    <x v="76"/>
    <s v=" NA"/>
    <x v="0"/>
    <n v="3"/>
    <n v="126674"/>
    <x v="0"/>
    <x v="0"/>
    <n v="13.42"/>
    <x v="0"/>
    <x v="2"/>
    <n v="2013"/>
    <x v="0"/>
  </r>
  <r>
    <s v="EMP0118"/>
    <s v="Sanjay Jain"/>
    <n v="31"/>
    <s v="26–35"/>
    <x v="0"/>
    <x v="3"/>
    <x v="3"/>
    <x v="80"/>
    <s v=" NA"/>
    <x v="0"/>
    <n v="4"/>
    <n v="89932"/>
    <x v="3"/>
    <x v="3"/>
    <n v="2.5"/>
    <x v="4"/>
    <x v="0"/>
    <n v="2024"/>
    <x v="0"/>
  </r>
  <r>
    <s v="EMP0119"/>
    <s v="Keerthi Iyer"/>
    <n v="30"/>
    <s v="26–35"/>
    <x v="0"/>
    <x v="3"/>
    <x v="0"/>
    <x v="51"/>
    <s v=" NA"/>
    <x v="0"/>
    <n v="5"/>
    <n v="94928"/>
    <x v="3"/>
    <x v="3"/>
    <n v="2"/>
    <x v="0"/>
    <x v="2"/>
    <n v="2024"/>
    <x v="0"/>
  </r>
  <r>
    <s v="EMP0120"/>
    <s v="Priya Nair"/>
    <n v="42"/>
    <s v="36–45"/>
    <x v="0"/>
    <x v="5"/>
    <x v="3"/>
    <x v="81"/>
    <s v="2026-06-07"/>
    <x v="1"/>
    <n v="3"/>
    <n v="72120"/>
    <x v="1"/>
    <x v="1"/>
    <n v="0.42"/>
    <x v="1"/>
    <x v="1"/>
    <n v="2026"/>
    <x v="1"/>
  </r>
  <r>
    <s v="EMP0121"/>
    <s v="Arjun Kumar"/>
    <n v="42"/>
    <s v="36–45"/>
    <x v="0"/>
    <x v="7"/>
    <x v="3"/>
    <x v="82"/>
    <s v="2020-03-13"/>
    <x v="1"/>
    <n v="4"/>
    <n v="35232"/>
    <x v="2"/>
    <x v="4"/>
    <n v="9.42"/>
    <x v="1"/>
    <x v="1"/>
    <n v="2017"/>
    <x v="9"/>
  </r>
  <r>
    <s v="EMP0122"/>
    <s v="Nisha Verma"/>
    <n v="51"/>
    <s v="46–55"/>
    <x v="1"/>
    <x v="6"/>
    <x v="3"/>
    <x v="77"/>
    <s v=" NA"/>
    <x v="0"/>
    <n v="2"/>
    <n v="98647"/>
    <x v="3"/>
    <x v="4"/>
    <n v="5.92"/>
    <x v="3"/>
    <x v="1"/>
    <n v="2020"/>
    <x v="0"/>
  </r>
  <r>
    <s v="EMP0123"/>
    <s v="Manoj Singh"/>
    <n v="22"/>
    <s v="18–25"/>
    <x v="1"/>
    <x v="4"/>
    <x v="4"/>
    <x v="13"/>
    <s v=" NA"/>
    <x v="0"/>
    <n v="4"/>
    <n v="33036"/>
    <x v="2"/>
    <x v="3"/>
    <n v="2.83"/>
    <x v="2"/>
    <x v="1"/>
    <n v="2023"/>
    <x v="0"/>
  </r>
  <r>
    <s v="EMP0124"/>
    <s v="Neha Shah"/>
    <n v="49"/>
    <s v="46–55"/>
    <x v="1"/>
    <x v="1"/>
    <x v="1"/>
    <x v="83"/>
    <s v=" NA"/>
    <x v="0"/>
    <n v="4"/>
    <n v="52238"/>
    <x v="1"/>
    <x v="4"/>
    <n v="10"/>
    <x v="0"/>
    <x v="4"/>
    <n v="2016"/>
    <x v="0"/>
  </r>
  <r>
    <s v="EMP0125"/>
    <s v="Nisha Das"/>
    <n v="30"/>
    <s v="26–35"/>
    <x v="0"/>
    <x v="3"/>
    <x v="2"/>
    <x v="84"/>
    <s v=" NA"/>
    <x v="0"/>
    <n v="4"/>
    <n v="30892"/>
    <x v="2"/>
    <x v="2"/>
    <n v="3.08"/>
    <x v="5"/>
    <x v="5"/>
    <n v="2023"/>
    <x v="0"/>
  </r>
  <r>
    <s v="EMP0126"/>
    <s v="Rohan Shah"/>
    <n v="49"/>
    <s v="46–55"/>
    <x v="0"/>
    <x v="1"/>
    <x v="3"/>
    <x v="85"/>
    <s v=" NA"/>
    <x v="0"/>
    <n v="4"/>
    <n v="18979"/>
    <x v="4"/>
    <x v="4"/>
    <n v="8.17"/>
    <x v="4"/>
    <x v="4"/>
    <n v="2018"/>
    <x v="0"/>
  </r>
  <r>
    <s v="EMP0127"/>
    <s v="Aditya Singh"/>
    <n v="55"/>
    <s v="46–55"/>
    <x v="0"/>
    <x v="3"/>
    <x v="1"/>
    <x v="86"/>
    <s v="2026-02-27"/>
    <x v="1"/>
    <n v="4"/>
    <n v="55488"/>
    <x v="1"/>
    <x v="1"/>
    <n v="0.57999999999999996"/>
    <x v="5"/>
    <x v="7"/>
    <n v="2026"/>
    <x v="1"/>
  </r>
  <r>
    <s v="EMP0128"/>
    <s v="Rohan Kumar"/>
    <n v="44"/>
    <s v="36–45"/>
    <x v="0"/>
    <x v="7"/>
    <x v="2"/>
    <x v="46"/>
    <s v=" NA"/>
    <x v="0"/>
    <n v="4"/>
    <n v="27383"/>
    <x v="4"/>
    <x v="3"/>
    <n v="1.5"/>
    <x v="2"/>
    <x v="1"/>
    <n v="2025"/>
    <x v="0"/>
  </r>
  <r>
    <s v="EMP0129"/>
    <s v="Sana Verma"/>
    <n v="50"/>
    <s v="46–55"/>
    <x v="1"/>
    <x v="2"/>
    <x v="0"/>
    <x v="87"/>
    <s v=" NA"/>
    <x v="0"/>
    <n v="2"/>
    <n v="93672"/>
    <x v="3"/>
    <x v="0"/>
    <n v="10.25"/>
    <x v="3"/>
    <x v="2"/>
    <n v="2016"/>
    <x v="0"/>
  </r>
  <r>
    <s v="EMP0130"/>
    <s v="Naveen Bose"/>
    <n v="53"/>
    <s v="46–55"/>
    <x v="0"/>
    <x v="1"/>
    <x v="3"/>
    <x v="53"/>
    <s v=" NA"/>
    <x v="0"/>
    <n v="3"/>
    <n v="66203"/>
    <x v="1"/>
    <x v="3"/>
    <n v="2.42"/>
    <x v="2"/>
    <x v="3"/>
    <n v="2024"/>
    <x v="0"/>
  </r>
  <r>
    <s v="EMP0131"/>
    <s v="Aarav Jain"/>
    <n v="39"/>
    <s v="36–45"/>
    <x v="0"/>
    <x v="0"/>
    <x v="3"/>
    <x v="34"/>
    <s v=" NA"/>
    <x v="0"/>
    <n v="4"/>
    <n v="29842"/>
    <x v="4"/>
    <x v="2"/>
    <n v="3.5"/>
    <x v="3"/>
    <x v="0"/>
    <n v="2023"/>
    <x v="0"/>
  </r>
  <r>
    <s v="EMP0132"/>
    <s v="Manoj Kumar"/>
    <n v="28"/>
    <s v="26–35"/>
    <x v="0"/>
    <x v="7"/>
    <x v="1"/>
    <x v="6"/>
    <s v=" NA"/>
    <x v="0"/>
    <n v="3"/>
    <n v="51500"/>
    <x v="1"/>
    <x v="1"/>
    <n v="0.92"/>
    <x v="0"/>
    <x v="3"/>
    <n v="2025"/>
    <x v="0"/>
  </r>
  <r>
    <s v="EMP0133"/>
    <s v="Kavya Patel"/>
    <n v="61"/>
    <s v="56+"/>
    <x v="1"/>
    <x v="1"/>
    <x v="3"/>
    <x v="88"/>
    <s v="2021-12-04"/>
    <x v="1"/>
    <n v="2"/>
    <n v="166137"/>
    <x v="0"/>
    <x v="2"/>
    <n v="4.92"/>
    <x v="1"/>
    <x v="3"/>
    <n v="2021"/>
    <x v="6"/>
  </r>
  <r>
    <s v="EMP0134"/>
    <s v="Ishita Gupta"/>
    <n v="23"/>
    <s v="18–25"/>
    <x v="0"/>
    <x v="2"/>
    <x v="1"/>
    <x v="14"/>
    <s v=" NA"/>
    <x v="0"/>
    <n v="2"/>
    <n v="66743"/>
    <x v="1"/>
    <x v="4"/>
    <n v="6.42"/>
    <x v="2"/>
    <x v="1"/>
    <n v="2020"/>
    <x v="0"/>
  </r>
  <r>
    <s v="EMP0135"/>
    <s v="Keerthi  Menon"/>
    <n v="43"/>
    <s v="36–45"/>
    <x v="1"/>
    <x v="7"/>
    <x v="0"/>
    <x v="73"/>
    <s v=" NA"/>
    <x v="0"/>
    <n v="1"/>
    <n v="29504"/>
    <x v="4"/>
    <x v="4"/>
    <n v="7.5"/>
    <x v="0"/>
    <x v="5"/>
    <n v="2019"/>
    <x v="0"/>
  </r>
  <r>
    <s v="EMP0136"/>
    <s v="Rohan Krishnan"/>
    <n v="23"/>
    <s v="18–25"/>
    <x v="0"/>
    <x v="2"/>
    <x v="3"/>
    <x v="89"/>
    <s v=" NA"/>
    <x v="0"/>
    <n v="1"/>
    <n v="66364"/>
    <x v="1"/>
    <x v="0"/>
    <n v="14.25"/>
    <x v="0"/>
    <x v="4"/>
    <n v="2012"/>
    <x v="0"/>
  </r>
  <r>
    <s v="EMP0137"/>
    <s v="Kiran Krishnan"/>
    <n v="38"/>
    <s v="36–45"/>
    <x v="0"/>
    <x v="7"/>
    <x v="0"/>
    <x v="90"/>
    <s v=" NA"/>
    <x v="0"/>
    <n v="4"/>
    <n v="66634"/>
    <x v="1"/>
    <x v="4"/>
    <n v="7.92"/>
    <x v="2"/>
    <x v="6"/>
    <n v="2018"/>
    <x v="0"/>
  </r>
  <r>
    <s v="EMP0138"/>
    <s v="Vikram Kannan"/>
    <n v="25"/>
    <s v="18–25"/>
    <x v="1"/>
    <x v="1"/>
    <x v="3"/>
    <x v="91"/>
    <s v=" NA"/>
    <x v="0"/>
    <n v="4"/>
    <n v="95892"/>
    <x v="3"/>
    <x v="0"/>
    <n v="13.17"/>
    <x v="5"/>
    <x v="6"/>
    <n v="2013"/>
    <x v="0"/>
  </r>
  <r>
    <s v="EMP0139"/>
    <s v="Meera Patel"/>
    <n v="29"/>
    <s v="26–35"/>
    <x v="0"/>
    <x v="7"/>
    <x v="1"/>
    <x v="42"/>
    <s v=" NA"/>
    <x v="0"/>
    <n v="5"/>
    <n v="24273"/>
    <x v="4"/>
    <x v="1"/>
    <n v="0.17"/>
    <x v="4"/>
    <x v="6"/>
    <n v="2026"/>
    <x v="0"/>
  </r>
  <r>
    <s v="EMP0140"/>
    <s v="Meera Shah"/>
    <n v="45"/>
    <s v="36–45"/>
    <x v="1"/>
    <x v="0"/>
    <x v="0"/>
    <x v="42"/>
    <s v=" NA"/>
    <x v="0"/>
    <n v="3"/>
    <n v="145913"/>
    <x v="0"/>
    <x v="1"/>
    <n v="0.17"/>
    <x v="1"/>
    <x v="6"/>
    <n v="2026"/>
    <x v="0"/>
  </r>
  <r>
    <s v="EMP0141"/>
    <s v="Pooja Singh"/>
    <n v="32"/>
    <s v="26–35"/>
    <x v="0"/>
    <x v="0"/>
    <x v="3"/>
    <x v="92"/>
    <s v="2026-08-27"/>
    <x v="1"/>
    <n v="4"/>
    <n v="31626"/>
    <x v="2"/>
    <x v="1"/>
    <n v="0.25"/>
    <x v="5"/>
    <x v="5"/>
    <n v="2026"/>
    <x v="1"/>
  </r>
  <r>
    <s v="EMP0142"/>
    <s v="Arjun Rao"/>
    <n v="33"/>
    <s v="26–35"/>
    <x v="0"/>
    <x v="2"/>
    <x v="0"/>
    <x v="10"/>
    <s v=" NA"/>
    <x v="0"/>
    <n v="4"/>
    <n v="21741"/>
    <x v="4"/>
    <x v="4"/>
    <n v="5.33"/>
    <x v="5"/>
    <x v="3"/>
    <n v="2021"/>
    <x v="0"/>
  </r>
  <r>
    <s v="EMP0143"/>
    <s v="Rahul Jain"/>
    <n v="44"/>
    <s v="36–45"/>
    <x v="1"/>
    <x v="2"/>
    <x v="3"/>
    <x v="74"/>
    <s v=" NA"/>
    <x v="0"/>
    <n v="4"/>
    <n v="64006"/>
    <x v="1"/>
    <x v="3"/>
    <n v="2.33"/>
    <x v="1"/>
    <x v="6"/>
    <n v="2024"/>
    <x v="0"/>
  </r>
  <r>
    <s v="EMP0144"/>
    <s v="Keerthi Rao"/>
    <n v="21"/>
    <s v="18–25"/>
    <x v="0"/>
    <x v="2"/>
    <x v="0"/>
    <x v="80"/>
    <s v=" NA"/>
    <x v="0"/>
    <n v="3"/>
    <n v="22244"/>
    <x v="4"/>
    <x v="3"/>
    <n v="2.5"/>
    <x v="1"/>
    <x v="5"/>
    <n v="2024"/>
    <x v="0"/>
  </r>
  <r>
    <s v="EMP0145"/>
    <s v="Ananya Krishnan"/>
    <n v="44"/>
    <s v="36–45"/>
    <x v="0"/>
    <x v="0"/>
    <x v="0"/>
    <x v="93"/>
    <s v="2023-10-03"/>
    <x v="1"/>
    <n v="3"/>
    <n v="28498"/>
    <x v="4"/>
    <x v="2"/>
    <n v="3.25"/>
    <x v="0"/>
    <x v="0"/>
    <n v="2023"/>
    <x v="4"/>
  </r>
  <r>
    <s v="EMP0146"/>
    <s v="Kiran Sharma"/>
    <n v="28"/>
    <s v="26–35"/>
    <x v="1"/>
    <x v="3"/>
    <x v="3"/>
    <x v="66"/>
    <s v=" NA"/>
    <x v="0"/>
    <n v="3"/>
    <n v="46160"/>
    <x v="2"/>
    <x v="1"/>
    <n v="0.57999999999999996"/>
    <x v="1"/>
    <x v="0"/>
    <n v="2026"/>
    <x v="0"/>
  </r>
  <r>
    <s v="EMP0147"/>
    <s v="Rahul Kumar"/>
    <n v="27"/>
    <s v="26–35"/>
    <x v="1"/>
    <x v="1"/>
    <x v="3"/>
    <x v="94"/>
    <s v="2019-12-15"/>
    <x v="1"/>
    <n v="3"/>
    <n v="28734"/>
    <x v="4"/>
    <x v="4"/>
    <n v="8.08"/>
    <x v="0"/>
    <x v="5"/>
    <n v="2018"/>
    <x v="10"/>
  </r>
  <r>
    <s v="EMP0148"/>
    <s v="Vikram Verma"/>
    <n v="22"/>
    <s v="18–25"/>
    <x v="0"/>
    <x v="6"/>
    <x v="1"/>
    <x v="76"/>
    <s v=" NA"/>
    <x v="0"/>
    <n v="4"/>
    <n v="74719"/>
    <x v="1"/>
    <x v="0"/>
    <n v="13.42"/>
    <x v="3"/>
    <x v="1"/>
    <n v="2013"/>
    <x v="0"/>
  </r>
  <r>
    <s v="EMP0149"/>
    <s v="Naveen Sharma"/>
    <n v="32"/>
    <s v="26–35"/>
    <x v="1"/>
    <x v="2"/>
    <x v="0"/>
    <x v="14"/>
    <s v=" NA"/>
    <x v="0"/>
    <n v="3"/>
    <n v="56132"/>
    <x v="1"/>
    <x v="4"/>
    <n v="6.42"/>
    <x v="0"/>
    <x v="2"/>
    <n v="2020"/>
    <x v="0"/>
  </r>
  <r>
    <s v="EMP0150"/>
    <s v="Anil Menon"/>
    <n v="26"/>
    <s v="26–35"/>
    <x v="1"/>
    <x v="2"/>
    <x v="0"/>
    <x v="12"/>
    <s v=" NA"/>
    <x v="0"/>
    <n v="1"/>
    <n v="58472"/>
    <x v="1"/>
    <x v="1"/>
    <n v="0.08"/>
    <x v="0"/>
    <x v="1"/>
    <n v="2026"/>
    <x v="0"/>
  </r>
  <r>
    <s v="EMP0151"/>
    <s v="Suresh Joshi"/>
    <n v="40"/>
    <s v="36–45"/>
    <x v="1"/>
    <x v="7"/>
    <x v="1"/>
    <x v="95"/>
    <s v=" NA"/>
    <x v="0"/>
    <n v="4"/>
    <n v="75419"/>
    <x v="3"/>
    <x v="4"/>
    <n v="5.58"/>
    <x v="2"/>
    <x v="4"/>
    <n v="2021"/>
    <x v="0"/>
  </r>
  <r>
    <s v="EMP0152"/>
    <s v="Neha Singh"/>
    <n v="33"/>
    <s v="26–35"/>
    <x v="1"/>
    <x v="2"/>
    <x v="2"/>
    <x v="11"/>
    <s v=" NA"/>
    <x v="0"/>
    <n v="4"/>
    <n v="87316"/>
    <x v="3"/>
    <x v="1"/>
    <n v="0.42"/>
    <x v="1"/>
    <x v="7"/>
    <n v="2026"/>
    <x v="0"/>
  </r>
  <r>
    <s v="EMP0153"/>
    <s v="Anil Sharma"/>
    <n v="31"/>
    <s v="26–35"/>
    <x v="0"/>
    <x v="0"/>
    <x v="0"/>
    <x v="96"/>
    <s v=" NA"/>
    <x v="0"/>
    <n v="4"/>
    <n v="98909"/>
    <x v="3"/>
    <x v="0"/>
    <n v="14.42"/>
    <x v="3"/>
    <x v="2"/>
    <n v="2012"/>
    <x v="0"/>
  </r>
  <r>
    <s v="EMP0154"/>
    <s v="Manoj Iyer"/>
    <n v="30"/>
    <s v="26–35"/>
    <x v="0"/>
    <x v="4"/>
    <x v="0"/>
    <x v="97"/>
    <s v=" NA"/>
    <x v="0"/>
    <n v="2"/>
    <n v="116465"/>
    <x v="0"/>
    <x v="0"/>
    <n v="10.58"/>
    <x v="1"/>
    <x v="0"/>
    <n v="2016"/>
    <x v="0"/>
  </r>
  <r>
    <s v="EMP0155"/>
    <s v="Vikram Sharma"/>
    <n v="34"/>
    <s v="26–35"/>
    <x v="1"/>
    <x v="7"/>
    <x v="2"/>
    <x v="98"/>
    <s v=" NA"/>
    <x v="0"/>
    <n v="3"/>
    <n v="49642"/>
    <x v="2"/>
    <x v="4"/>
    <n v="5.5"/>
    <x v="2"/>
    <x v="2"/>
    <n v="2021"/>
    <x v="0"/>
  </r>
  <r>
    <s v="EMP0156"/>
    <s v="Priya Iyer"/>
    <n v="24"/>
    <s v="18–25"/>
    <x v="1"/>
    <x v="4"/>
    <x v="1"/>
    <x v="99"/>
    <s v=" NA"/>
    <x v="0"/>
    <n v="4"/>
    <n v="130836"/>
    <x v="0"/>
    <x v="0"/>
    <n v="11.08"/>
    <x v="0"/>
    <x v="3"/>
    <n v="2015"/>
    <x v="0"/>
  </r>
  <r>
    <s v="EMP0157"/>
    <s v="Nisha Gupta"/>
    <n v="36"/>
    <s v="36–45"/>
    <x v="1"/>
    <x v="1"/>
    <x v="0"/>
    <x v="100"/>
    <s v="2018-06-08"/>
    <x v="1"/>
    <n v="3"/>
    <n v="38112"/>
    <x v="2"/>
    <x v="0"/>
    <n v="11.17"/>
    <x v="5"/>
    <x v="0"/>
    <n v="2015"/>
    <x v="11"/>
  </r>
  <r>
    <s v="EMP0158"/>
    <s v="Suresh Shah"/>
    <n v="41"/>
    <s v="36–45"/>
    <x v="0"/>
    <x v="1"/>
    <x v="1"/>
    <x v="16"/>
    <s v=" NA"/>
    <x v="0"/>
    <n v="4"/>
    <n v="21384"/>
    <x v="4"/>
    <x v="0"/>
    <n v="13.08"/>
    <x v="0"/>
    <x v="0"/>
    <n v="2013"/>
    <x v="0"/>
  </r>
  <r>
    <s v="EMP0159"/>
    <s v="Rahul Das"/>
    <n v="28"/>
    <s v="26–35"/>
    <x v="1"/>
    <x v="1"/>
    <x v="0"/>
    <x v="101"/>
    <s v="2020-11-05"/>
    <x v="1"/>
    <n v="4"/>
    <n v="25728"/>
    <x v="4"/>
    <x v="4"/>
    <n v="8.58"/>
    <x v="2"/>
    <x v="2"/>
    <n v="2018"/>
    <x v="9"/>
  </r>
  <r>
    <s v="EMP0160"/>
    <s v="Rohan Rao"/>
    <n v="25"/>
    <s v="18–25"/>
    <x v="1"/>
    <x v="5"/>
    <x v="3"/>
    <x v="102"/>
    <s v=" NA"/>
    <x v="0"/>
    <n v="3"/>
    <n v="98748"/>
    <x v="3"/>
    <x v="1"/>
    <n v="1"/>
    <x v="0"/>
    <x v="5"/>
    <n v="2025"/>
    <x v="0"/>
  </r>
  <r>
    <s v="EMP0161"/>
    <s v="Suresh Verma"/>
    <n v="32"/>
    <s v="26–35"/>
    <x v="0"/>
    <x v="2"/>
    <x v="0"/>
    <x v="41"/>
    <s v=" NA"/>
    <x v="0"/>
    <n v="4"/>
    <n v="28574"/>
    <x v="4"/>
    <x v="2"/>
    <n v="3.42"/>
    <x v="1"/>
    <x v="2"/>
    <n v="2023"/>
    <x v="0"/>
  </r>
  <r>
    <s v="EMP0162"/>
    <s v="Kiran Nair"/>
    <n v="55"/>
    <s v="46–55"/>
    <x v="0"/>
    <x v="2"/>
    <x v="3"/>
    <x v="36"/>
    <s v=" NA"/>
    <x v="0"/>
    <n v="2"/>
    <n v="109088"/>
    <x v="0"/>
    <x v="4"/>
    <n v="9.08"/>
    <x v="1"/>
    <x v="0"/>
    <n v="2017"/>
    <x v="0"/>
  </r>
  <r>
    <s v="EMP0163"/>
    <s v="Aarav Jain"/>
    <n v="29"/>
    <s v="26–35"/>
    <x v="0"/>
    <x v="2"/>
    <x v="0"/>
    <x v="102"/>
    <s v=" NA"/>
    <x v="0"/>
    <n v="3"/>
    <n v="19646"/>
    <x v="4"/>
    <x v="1"/>
    <n v="1"/>
    <x v="3"/>
    <x v="6"/>
    <n v="2025"/>
    <x v="0"/>
  </r>
  <r>
    <s v="EMP0164"/>
    <s v="Neha Verma"/>
    <n v="53"/>
    <s v="46–55"/>
    <x v="0"/>
    <x v="2"/>
    <x v="0"/>
    <x v="27"/>
    <s v=" NA"/>
    <x v="0"/>
    <n v="5"/>
    <n v="151307"/>
    <x v="0"/>
    <x v="1"/>
    <n v="0.75"/>
    <x v="0"/>
    <x v="5"/>
    <n v="2026"/>
    <x v="0"/>
  </r>
  <r>
    <s v="EMP0165"/>
    <s v="Suresh Das"/>
    <n v="32"/>
    <s v="26–35"/>
    <x v="1"/>
    <x v="5"/>
    <x v="0"/>
    <x v="103"/>
    <s v="2022-05-19"/>
    <x v="1"/>
    <n v="3"/>
    <n v="68037"/>
    <x v="1"/>
    <x v="4"/>
    <n v="6.08"/>
    <x v="0"/>
    <x v="5"/>
    <n v="2020"/>
    <x v="3"/>
  </r>
  <r>
    <s v="EMP0166"/>
    <s v="Naveen Joshi"/>
    <n v="26"/>
    <s v="26–35"/>
    <x v="1"/>
    <x v="1"/>
    <x v="0"/>
    <x v="104"/>
    <s v=" NA"/>
    <x v="0"/>
    <n v="3"/>
    <n v="35552"/>
    <x v="2"/>
    <x v="3"/>
    <n v="1.67"/>
    <x v="0"/>
    <x v="5"/>
    <n v="2025"/>
    <x v="0"/>
  </r>
  <r>
    <s v="EMP0167"/>
    <s v="Sanjay Verma"/>
    <n v="21"/>
    <s v="18–25"/>
    <x v="1"/>
    <x v="5"/>
    <x v="1"/>
    <x v="27"/>
    <s v=" NA"/>
    <x v="0"/>
    <n v="4"/>
    <n v="33488"/>
    <x v="2"/>
    <x v="1"/>
    <n v="0.75"/>
    <x v="1"/>
    <x v="7"/>
    <n v="2026"/>
    <x v="0"/>
  </r>
  <r>
    <s v="EMP0168"/>
    <s v="Anil Patel"/>
    <n v="39"/>
    <s v="36–45"/>
    <x v="0"/>
    <x v="7"/>
    <x v="1"/>
    <x v="53"/>
    <s v=" NA"/>
    <x v="0"/>
    <n v="3"/>
    <n v="167411"/>
    <x v="0"/>
    <x v="3"/>
    <n v="2.42"/>
    <x v="5"/>
    <x v="4"/>
    <n v="2024"/>
    <x v="0"/>
  </r>
  <r>
    <s v="EMP0169"/>
    <s v="Naveen Iyer"/>
    <n v="41"/>
    <s v="36–45"/>
    <x v="0"/>
    <x v="3"/>
    <x v="3"/>
    <x v="104"/>
    <s v=" NA"/>
    <x v="0"/>
    <n v="2"/>
    <n v="18534"/>
    <x v="4"/>
    <x v="3"/>
    <n v="1.67"/>
    <x v="1"/>
    <x v="5"/>
    <n v="2025"/>
    <x v="0"/>
  </r>
  <r>
    <s v="EMP0170"/>
    <s v="Kavya Verma"/>
    <n v="23"/>
    <s v="18–25"/>
    <x v="1"/>
    <x v="5"/>
    <x v="3"/>
    <x v="105"/>
    <s v=" NA"/>
    <x v="0"/>
    <n v="4"/>
    <n v="23091"/>
    <x v="4"/>
    <x v="3"/>
    <n v="2.25"/>
    <x v="0"/>
    <x v="1"/>
    <n v="2024"/>
    <x v="0"/>
  </r>
  <r>
    <s v="EMP0171"/>
    <s v="Divya Gupta"/>
    <n v="27"/>
    <s v="26–35"/>
    <x v="1"/>
    <x v="6"/>
    <x v="3"/>
    <x v="24"/>
    <s v=" NA"/>
    <x v="0"/>
    <n v="2"/>
    <n v="92326"/>
    <x v="3"/>
    <x v="2"/>
    <n v="3.75"/>
    <x v="0"/>
    <x v="5"/>
    <n v="2023"/>
    <x v="0"/>
  </r>
  <r>
    <s v="EMP0172"/>
    <s v="Vikram Kumar"/>
    <n v="52"/>
    <s v="46–55"/>
    <x v="1"/>
    <x v="3"/>
    <x v="3"/>
    <x v="106"/>
    <s v=" NA"/>
    <x v="0"/>
    <n v="5"/>
    <n v="21174"/>
    <x v="4"/>
    <x v="0"/>
    <n v="11.42"/>
    <x v="0"/>
    <x v="6"/>
    <n v="2015"/>
    <x v="0"/>
  </r>
  <r>
    <s v="EMP0173"/>
    <s v="Suresh Sharma"/>
    <n v="42"/>
    <s v="36–45"/>
    <x v="0"/>
    <x v="6"/>
    <x v="3"/>
    <x v="107"/>
    <s v=" NA"/>
    <x v="0"/>
    <n v="3"/>
    <n v="64403"/>
    <x v="1"/>
    <x v="0"/>
    <n v="15.58"/>
    <x v="5"/>
    <x v="5"/>
    <n v="2011"/>
    <x v="0"/>
  </r>
  <r>
    <s v="EMP0174"/>
    <s v="Aditya Shah"/>
    <n v="23"/>
    <s v="18–25"/>
    <x v="0"/>
    <x v="7"/>
    <x v="1"/>
    <x v="40"/>
    <s v=" NA"/>
    <x v="0"/>
    <n v="4"/>
    <n v="24088"/>
    <x v="4"/>
    <x v="3"/>
    <n v="1.58"/>
    <x v="5"/>
    <x v="0"/>
    <n v="2025"/>
    <x v="0"/>
  </r>
  <r>
    <s v="EMP0175"/>
    <s v="Anil Kumar"/>
    <n v="22"/>
    <s v="18–25"/>
    <x v="1"/>
    <x v="1"/>
    <x v="0"/>
    <x v="108"/>
    <s v="2025-12-28"/>
    <x v="1"/>
    <n v="3"/>
    <n v="23475"/>
    <x v="4"/>
    <x v="1"/>
    <n v="0.67"/>
    <x v="3"/>
    <x v="2"/>
    <n v="2025"/>
    <x v="5"/>
  </r>
  <r>
    <s v="EMP0176"/>
    <s v="Aisha Menon"/>
    <n v="40"/>
    <s v="36–45"/>
    <x v="1"/>
    <x v="1"/>
    <x v="0"/>
    <x v="40"/>
    <s v=" NA"/>
    <x v="0"/>
    <n v="3"/>
    <n v="42425"/>
    <x v="2"/>
    <x v="3"/>
    <n v="1.58"/>
    <x v="3"/>
    <x v="2"/>
    <n v="2025"/>
    <x v="0"/>
  </r>
  <r>
    <s v="EMP0177"/>
    <s v="Vikram Reddy"/>
    <n v="47"/>
    <s v="46–55"/>
    <x v="1"/>
    <x v="6"/>
    <x v="4"/>
    <x v="102"/>
    <s v=" NA"/>
    <x v="0"/>
    <n v="3"/>
    <n v="19145"/>
    <x v="4"/>
    <x v="1"/>
    <n v="1"/>
    <x v="5"/>
    <x v="1"/>
    <n v="2025"/>
    <x v="0"/>
  </r>
  <r>
    <s v="EMP0178"/>
    <s v="Rahul Kannan"/>
    <n v="55"/>
    <s v="46–55"/>
    <x v="1"/>
    <x v="5"/>
    <x v="1"/>
    <x v="27"/>
    <s v=" NA"/>
    <x v="0"/>
    <n v="2"/>
    <n v="141595"/>
    <x v="0"/>
    <x v="1"/>
    <n v="0.75"/>
    <x v="2"/>
    <x v="6"/>
    <n v="2026"/>
    <x v="0"/>
  </r>
  <r>
    <s v="EMP0179"/>
    <s v="Pooja Verma"/>
    <n v="33"/>
    <s v="26–35"/>
    <x v="0"/>
    <x v="2"/>
    <x v="0"/>
    <x v="41"/>
    <s v=" NA"/>
    <x v="0"/>
    <n v="3"/>
    <n v="63904"/>
    <x v="1"/>
    <x v="2"/>
    <n v="3.42"/>
    <x v="1"/>
    <x v="7"/>
    <n v="2023"/>
    <x v="0"/>
  </r>
  <r>
    <s v="EMP0180"/>
    <s v="Sanjay Reddy"/>
    <n v="37"/>
    <s v="36–45"/>
    <x v="0"/>
    <x v="3"/>
    <x v="3"/>
    <x v="33"/>
    <s v=" NA"/>
    <x v="0"/>
    <n v="2"/>
    <n v="59061"/>
    <x v="1"/>
    <x v="2"/>
    <n v="4.33"/>
    <x v="2"/>
    <x v="5"/>
    <n v="2022"/>
    <x v="0"/>
  </r>
  <r>
    <s v="EMP0181"/>
    <s v="Suresh Kumar"/>
    <n v="34"/>
    <s v="26–35"/>
    <x v="1"/>
    <x v="5"/>
    <x v="0"/>
    <x v="108"/>
    <s v="2025-12-30"/>
    <x v="1"/>
    <n v="4"/>
    <n v="34036"/>
    <x v="2"/>
    <x v="1"/>
    <n v="0.75"/>
    <x v="0"/>
    <x v="5"/>
    <n v="2025"/>
    <x v="5"/>
  </r>
  <r>
    <s v="EMP0182"/>
    <s v="Divya Jain"/>
    <n v="40"/>
    <s v="36–45"/>
    <x v="1"/>
    <x v="2"/>
    <x v="3"/>
    <x v="107"/>
    <s v=" NA"/>
    <x v="0"/>
    <n v="3"/>
    <n v="36022"/>
    <x v="2"/>
    <x v="0"/>
    <n v="15.58"/>
    <x v="4"/>
    <x v="7"/>
    <n v="2011"/>
    <x v="0"/>
  </r>
  <r>
    <s v="EMP0183"/>
    <s v="Manoj Singh"/>
    <n v="35"/>
    <s v="26–35"/>
    <x v="1"/>
    <x v="3"/>
    <x v="0"/>
    <x v="12"/>
    <s v=" NA"/>
    <x v="0"/>
    <n v="1"/>
    <n v="59745"/>
    <x v="1"/>
    <x v="1"/>
    <n v="0.08"/>
    <x v="0"/>
    <x v="1"/>
    <n v="2026"/>
    <x v="0"/>
  </r>
  <r>
    <s v="EMP0184"/>
    <s v="Suresh Verma"/>
    <n v="22"/>
    <s v="18–25"/>
    <x v="0"/>
    <x v="6"/>
    <x v="1"/>
    <x v="93"/>
    <s v="2024-07-03"/>
    <x v="1"/>
    <n v="4"/>
    <n v="56420"/>
    <x v="1"/>
    <x v="2"/>
    <n v="3.25"/>
    <x v="5"/>
    <x v="5"/>
    <n v="2023"/>
    <x v="2"/>
  </r>
  <r>
    <s v="EMP0185"/>
    <s v="Pooja Joshi"/>
    <n v="30"/>
    <s v="26–35"/>
    <x v="0"/>
    <x v="2"/>
    <x v="0"/>
    <x v="109"/>
    <s v="2026-02-07"/>
    <x v="1"/>
    <n v="3"/>
    <n v="26237"/>
    <x v="4"/>
    <x v="1"/>
    <n v="0.5"/>
    <x v="3"/>
    <x v="4"/>
    <n v="2026"/>
    <x v="1"/>
  </r>
  <r>
    <s v="EMP0186"/>
    <s v="Nisha Rao"/>
    <n v="46"/>
    <s v="46–55"/>
    <x v="0"/>
    <x v="6"/>
    <x v="0"/>
    <x v="110"/>
    <s v=" NA"/>
    <x v="0"/>
    <n v="4"/>
    <n v="36181"/>
    <x v="2"/>
    <x v="4"/>
    <n v="6.67"/>
    <x v="0"/>
    <x v="3"/>
    <n v="2020"/>
    <x v="0"/>
  </r>
  <r>
    <s v="EMP0187"/>
    <s v="Rahul Jain"/>
    <n v="22"/>
    <s v="18–25"/>
    <x v="1"/>
    <x v="7"/>
    <x v="3"/>
    <x v="111"/>
    <s v=" NA"/>
    <x v="0"/>
    <n v="4"/>
    <n v="56137"/>
    <x v="1"/>
    <x v="3"/>
    <n v="2.92"/>
    <x v="4"/>
    <x v="3"/>
    <n v="2023"/>
    <x v="0"/>
  </r>
  <r>
    <s v="EMP0188"/>
    <s v="Suresh Iyer"/>
    <n v="31"/>
    <s v="26–35"/>
    <x v="0"/>
    <x v="3"/>
    <x v="0"/>
    <x v="112"/>
    <s v="2026-09-12"/>
    <x v="1"/>
    <n v="2"/>
    <n v="69431"/>
    <x v="1"/>
    <x v="1"/>
    <n v="0.42"/>
    <x v="2"/>
    <x v="6"/>
    <n v="2026"/>
    <x v="1"/>
  </r>
  <r>
    <s v="EMP0189"/>
    <s v="Naveen Bose"/>
    <n v="32"/>
    <s v="26–35"/>
    <x v="0"/>
    <x v="3"/>
    <x v="2"/>
    <x v="39"/>
    <s v=" NA"/>
    <x v="0"/>
    <n v="5"/>
    <n v="66348"/>
    <x v="1"/>
    <x v="1"/>
    <n v="0.33"/>
    <x v="2"/>
    <x v="4"/>
    <n v="2026"/>
    <x v="0"/>
  </r>
  <r>
    <s v="EMP0190"/>
    <s v="Suresh Patel"/>
    <n v="60"/>
    <s v="56+"/>
    <x v="0"/>
    <x v="6"/>
    <x v="0"/>
    <x v="42"/>
    <s v=" NA"/>
    <x v="0"/>
    <n v="2"/>
    <n v="117219"/>
    <x v="0"/>
    <x v="1"/>
    <n v="0.17"/>
    <x v="0"/>
    <x v="2"/>
    <n v="2026"/>
    <x v="0"/>
  </r>
  <r>
    <s v="EMP0191"/>
    <s v="Rohan Bose"/>
    <n v="39"/>
    <s v="36–45"/>
    <x v="1"/>
    <x v="1"/>
    <x v="0"/>
    <x v="113"/>
    <s v="2019-05-14"/>
    <x v="1"/>
    <n v="2"/>
    <n v="30344"/>
    <x v="2"/>
    <x v="0"/>
    <n v="12.5"/>
    <x v="5"/>
    <x v="0"/>
    <n v="2014"/>
    <x v="10"/>
  </r>
  <r>
    <s v="EMP0192"/>
    <s v="Divya Patel"/>
    <n v="28"/>
    <s v="26–35"/>
    <x v="0"/>
    <x v="0"/>
    <x v="3"/>
    <x v="114"/>
    <s v="2025-12-31"/>
    <x v="1"/>
    <n v="4"/>
    <n v="32266"/>
    <x v="2"/>
    <x v="1"/>
    <n v="0.75"/>
    <x v="5"/>
    <x v="4"/>
    <n v="2025"/>
    <x v="5"/>
  </r>
  <r>
    <s v="EMP0193"/>
    <s v="Vikram Verma"/>
    <n v="38"/>
    <s v="36–45"/>
    <x v="1"/>
    <x v="7"/>
    <x v="1"/>
    <x v="115"/>
    <s v=" NA"/>
    <x v="0"/>
    <n v="4"/>
    <n v="141796"/>
    <x v="0"/>
    <x v="3"/>
    <n v="1.42"/>
    <x v="1"/>
    <x v="2"/>
    <n v="2025"/>
    <x v="0"/>
  </r>
  <r>
    <s v="EMP0194"/>
    <s v="Rahul Bose"/>
    <n v="21"/>
    <s v="18–25"/>
    <x v="1"/>
    <x v="2"/>
    <x v="2"/>
    <x v="46"/>
    <s v=" NA"/>
    <x v="0"/>
    <n v="2"/>
    <n v="20597"/>
    <x v="4"/>
    <x v="3"/>
    <n v="1.5"/>
    <x v="0"/>
    <x v="6"/>
    <n v="2025"/>
    <x v="0"/>
  </r>
  <r>
    <s v="EMP0195"/>
    <s v="Meera Menon"/>
    <n v="38"/>
    <s v="36–45"/>
    <x v="0"/>
    <x v="6"/>
    <x v="3"/>
    <x v="116"/>
    <s v=" NA"/>
    <x v="0"/>
    <n v="5"/>
    <n v="156108"/>
    <x v="0"/>
    <x v="0"/>
    <n v="11.67"/>
    <x v="2"/>
    <x v="7"/>
    <n v="2015"/>
    <x v="0"/>
  </r>
  <r>
    <s v="EMP0196"/>
    <s v="Manoj Menon"/>
    <n v="22"/>
    <s v="18–25"/>
    <x v="1"/>
    <x v="1"/>
    <x v="0"/>
    <x v="56"/>
    <s v=" NA"/>
    <x v="0"/>
    <n v="1"/>
    <n v="65534"/>
    <x v="1"/>
    <x v="2"/>
    <n v="4.42"/>
    <x v="3"/>
    <x v="7"/>
    <n v="2022"/>
    <x v="0"/>
  </r>
  <r>
    <s v="EMP0197"/>
    <s v="Kiran Patel"/>
    <n v="24"/>
    <s v="18–25"/>
    <x v="1"/>
    <x v="2"/>
    <x v="0"/>
    <x v="117"/>
    <s v="2018-10-18"/>
    <x v="1"/>
    <n v="4"/>
    <n v="43845"/>
    <x v="2"/>
    <x v="0"/>
    <n v="15.5"/>
    <x v="0"/>
    <x v="5"/>
    <n v="2011"/>
    <x v="11"/>
  </r>
  <r>
    <s v="EMP0198"/>
    <s v="Priya Kumar"/>
    <n v="28"/>
    <s v="26–35"/>
    <x v="0"/>
    <x v="6"/>
    <x v="0"/>
    <x v="118"/>
    <s v=" NA"/>
    <x v="0"/>
    <n v="1"/>
    <n v="82027"/>
    <x v="3"/>
    <x v="3"/>
    <n v="2.17"/>
    <x v="0"/>
    <x v="7"/>
    <n v="2024"/>
    <x v="0"/>
  </r>
  <r>
    <s v="EMP0199"/>
    <s v="Rahul Gupta"/>
    <n v="22"/>
    <s v="18–25"/>
    <x v="1"/>
    <x v="1"/>
    <x v="0"/>
    <x v="119"/>
    <s v="2017-04-19"/>
    <x v="1"/>
    <n v="5"/>
    <n v="18976"/>
    <x v="4"/>
    <x v="0"/>
    <n v="14.75"/>
    <x v="5"/>
    <x v="0"/>
    <n v="2011"/>
    <x v="7"/>
  </r>
  <r>
    <s v="EMP0200"/>
    <s v="Kiran Rao"/>
    <n v="44"/>
    <s v="36–45"/>
    <x v="0"/>
    <x v="1"/>
    <x v="1"/>
    <x v="120"/>
    <s v=" NA"/>
    <x v="0"/>
    <n v="4"/>
    <n v="42067"/>
    <x v="2"/>
    <x v="3"/>
    <n v="1.83"/>
    <x v="2"/>
    <x v="5"/>
    <n v="2024"/>
    <x v="0"/>
  </r>
  <r>
    <s v="EMP0201"/>
    <s v="Keerthi Kumar"/>
    <n v="40"/>
    <s v="36–45"/>
    <x v="0"/>
    <x v="1"/>
    <x v="1"/>
    <x v="121"/>
    <s v="2024-12-08"/>
    <x v="1"/>
    <n v="1"/>
    <n v="20185"/>
    <x v="4"/>
    <x v="3"/>
    <n v="2.17"/>
    <x v="3"/>
    <x v="3"/>
    <n v="2024"/>
    <x v="2"/>
  </r>
  <r>
    <s v="EMP0202"/>
    <s v="Kiran  Das"/>
    <n v="52"/>
    <s v="46–55"/>
    <x v="1"/>
    <x v="2"/>
    <x v="1"/>
    <x v="122"/>
    <s v=" NA"/>
    <x v="0"/>
    <n v="1"/>
    <n v="40864"/>
    <x v="2"/>
    <x v="3"/>
    <n v="1.75"/>
    <x v="0"/>
    <x v="5"/>
    <n v="2025"/>
    <x v="0"/>
  </r>
  <r>
    <s v="EMP0203"/>
    <s v="Vikram Bose"/>
    <n v="29"/>
    <s v="26–35"/>
    <x v="1"/>
    <x v="3"/>
    <x v="1"/>
    <x v="33"/>
    <s v=" NA"/>
    <x v="0"/>
    <n v="4"/>
    <n v="87731"/>
    <x v="3"/>
    <x v="2"/>
    <n v="4.33"/>
    <x v="2"/>
    <x v="0"/>
    <n v="2022"/>
    <x v="0"/>
  </r>
  <r>
    <s v="EMP0204"/>
    <s v="Neha Jain"/>
    <n v="43"/>
    <s v="36–45"/>
    <x v="0"/>
    <x v="2"/>
    <x v="0"/>
    <x v="123"/>
    <s v=" NA"/>
    <x v="0"/>
    <n v="5"/>
    <n v="72724"/>
    <x v="1"/>
    <x v="2"/>
    <n v="4.75"/>
    <x v="3"/>
    <x v="5"/>
    <n v="2022"/>
    <x v="0"/>
  </r>
  <r>
    <s v="EMP0205"/>
    <s v="Meera Menon"/>
    <n v="53"/>
    <s v="46–55"/>
    <x v="1"/>
    <x v="2"/>
    <x v="3"/>
    <x v="124"/>
    <s v=" NA"/>
    <x v="0"/>
    <n v="3"/>
    <n v="41044"/>
    <x v="2"/>
    <x v="2"/>
    <n v="4.67"/>
    <x v="5"/>
    <x v="3"/>
    <n v="2022"/>
    <x v="0"/>
  </r>
  <r>
    <s v="EMP0206"/>
    <s v="Neha Rao"/>
    <n v="40"/>
    <s v="36–45"/>
    <x v="1"/>
    <x v="2"/>
    <x v="1"/>
    <x v="28"/>
    <s v=" NA"/>
    <x v="0"/>
    <n v="4"/>
    <n v="60717"/>
    <x v="1"/>
    <x v="2"/>
    <n v="3.83"/>
    <x v="1"/>
    <x v="0"/>
    <n v="2022"/>
    <x v="0"/>
  </r>
  <r>
    <s v="EMP0207"/>
    <s v="Kavya Patel"/>
    <n v="49"/>
    <s v="46–55"/>
    <x v="0"/>
    <x v="2"/>
    <x v="0"/>
    <x v="125"/>
    <s v="2026-07-13"/>
    <x v="1"/>
    <n v="5"/>
    <n v="108650"/>
    <x v="0"/>
    <x v="1"/>
    <n v="0.42"/>
    <x v="1"/>
    <x v="6"/>
    <n v="2026"/>
    <x v="1"/>
  </r>
  <r>
    <s v="EMP0208"/>
    <s v="Ishita Rao"/>
    <n v="44"/>
    <s v="36–45"/>
    <x v="0"/>
    <x v="5"/>
    <x v="0"/>
    <x v="11"/>
    <s v=" NA"/>
    <x v="0"/>
    <n v="3"/>
    <n v="19497"/>
    <x v="4"/>
    <x v="1"/>
    <n v="0.42"/>
    <x v="5"/>
    <x v="2"/>
    <n v="2026"/>
    <x v="0"/>
  </r>
  <r>
    <s v="EMP0209"/>
    <s v="Anil Joshi"/>
    <n v="25"/>
    <s v="18–25"/>
    <x v="0"/>
    <x v="3"/>
    <x v="0"/>
    <x v="126"/>
    <s v=" NA"/>
    <x v="0"/>
    <n v="4"/>
    <n v="42121"/>
    <x v="2"/>
    <x v="0"/>
    <n v="10.92"/>
    <x v="1"/>
    <x v="0"/>
    <n v="2015"/>
    <x v="0"/>
  </r>
  <r>
    <s v="EMP0210"/>
    <s v="Meera Singh"/>
    <n v="24"/>
    <s v="18–25"/>
    <x v="0"/>
    <x v="7"/>
    <x v="0"/>
    <x v="127"/>
    <s v="2025-08-30"/>
    <x v="1"/>
    <n v="3"/>
    <n v="36235"/>
    <x v="2"/>
    <x v="3"/>
    <n v="1.33"/>
    <x v="3"/>
    <x v="4"/>
    <n v="2025"/>
    <x v="5"/>
  </r>
  <r>
    <s v="EMP0211"/>
    <s v="Keerthi Nair"/>
    <n v="59"/>
    <s v="56+"/>
    <x v="0"/>
    <x v="3"/>
    <x v="0"/>
    <x v="128"/>
    <s v="2021-10-16"/>
    <x v="1"/>
    <n v="3"/>
    <n v="72674"/>
    <x v="1"/>
    <x v="4"/>
    <n v="5.33"/>
    <x v="3"/>
    <x v="0"/>
    <n v="2021"/>
    <x v="6"/>
  </r>
  <r>
    <s v="EMP0212"/>
    <s v="Manoj Das"/>
    <n v="52"/>
    <s v="46–55"/>
    <x v="0"/>
    <x v="3"/>
    <x v="0"/>
    <x v="32"/>
    <s v=" NA"/>
    <x v="0"/>
    <n v="5"/>
    <n v="21907"/>
    <x v="4"/>
    <x v="0"/>
    <n v="10.83"/>
    <x v="0"/>
    <x v="5"/>
    <n v="2015"/>
    <x v="0"/>
  </r>
  <r>
    <s v="EMP0213"/>
    <s v="Rahul Kumar"/>
    <n v="25"/>
    <s v="18–25"/>
    <x v="0"/>
    <x v="3"/>
    <x v="1"/>
    <x v="9"/>
    <s v=" NA"/>
    <x v="0"/>
    <n v="4"/>
    <n v="96931"/>
    <x v="3"/>
    <x v="2"/>
    <n v="4.92"/>
    <x v="4"/>
    <x v="7"/>
    <n v="2021"/>
    <x v="0"/>
  </r>
  <r>
    <s v="EMP0214"/>
    <s v="Vikram Verma"/>
    <n v="29"/>
    <s v="26–35"/>
    <x v="1"/>
    <x v="3"/>
    <x v="0"/>
    <x v="129"/>
    <s v="2023-12-23"/>
    <x v="1"/>
    <n v="3"/>
    <n v="59119"/>
    <x v="1"/>
    <x v="2"/>
    <n v="3.83"/>
    <x v="2"/>
    <x v="0"/>
    <n v="2022"/>
    <x v="4"/>
  </r>
  <r>
    <s v="EMP0215"/>
    <s v="Kavya Iyer"/>
    <n v="51"/>
    <s v="46–55"/>
    <x v="0"/>
    <x v="7"/>
    <x v="1"/>
    <x v="53"/>
    <s v=" NA"/>
    <x v="0"/>
    <n v="3"/>
    <n v="39386"/>
    <x v="2"/>
    <x v="3"/>
    <n v="2.42"/>
    <x v="5"/>
    <x v="5"/>
    <n v="2024"/>
    <x v="0"/>
  </r>
  <r>
    <s v="EMP0216"/>
    <s v="Nisha Krishnan"/>
    <n v="50"/>
    <s v="46–55"/>
    <x v="1"/>
    <x v="2"/>
    <x v="2"/>
    <x v="7"/>
    <s v=" NA"/>
    <x v="0"/>
    <n v="4"/>
    <n v="103892"/>
    <x v="0"/>
    <x v="1"/>
    <n v="0.25"/>
    <x v="0"/>
    <x v="1"/>
    <n v="2026"/>
    <x v="0"/>
  </r>
  <r>
    <s v="EMP0217"/>
    <s v="Vikram Shah"/>
    <n v="59"/>
    <s v="56+"/>
    <x v="0"/>
    <x v="2"/>
    <x v="0"/>
    <x v="56"/>
    <s v=" NA"/>
    <x v="0"/>
    <n v="3"/>
    <n v="66648"/>
    <x v="1"/>
    <x v="2"/>
    <n v="4.42"/>
    <x v="2"/>
    <x v="0"/>
    <n v="2022"/>
    <x v="0"/>
  </r>
  <r>
    <s v="EMP0218"/>
    <s v="Pooja Krishnan"/>
    <n v="29"/>
    <s v="26–35"/>
    <x v="0"/>
    <x v="4"/>
    <x v="1"/>
    <x v="130"/>
    <s v=" NA"/>
    <x v="0"/>
    <n v="5"/>
    <n v="85746"/>
    <x v="3"/>
    <x v="4"/>
    <n v="9.75"/>
    <x v="0"/>
    <x v="6"/>
    <n v="2017"/>
    <x v="0"/>
  </r>
  <r>
    <s v="EMP0219"/>
    <s v="Ishita Kumar"/>
    <n v="41"/>
    <s v="36–45"/>
    <x v="0"/>
    <x v="2"/>
    <x v="0"/>
    <x v="131"/>
    <s v=" NA"/>
    <x v="0"/>
    <n v="4"/>
    <n v="30116"/>
    <x v="2"/>
    <x v="3"/>
    <n v="2.75"/>
    <x v="2"/>
    <x v="1"/>
    <n v="2024"/>
    <x v="0"/>
  </r>
  <r>
    <s v="EMP0220"/>
    <s v="Arjun Menon"/>
    <n v="47"/>
    <s v="46–55"/>
    <x v="0"/>
    <x v="1"/>
    <x v="0"/>
    <x v="132"/>
    <s v=" NA"/>
    <x v="0"/>
    <n v="5"/>
    <n v="34245"/>
    <x v="2"/>
    <x v="0"/>
    <n v="10.67"/>
    <x v="2"/>
    <x v="0"/>
    <n v="2016"/>
    <x v="0"/>
  </r>
  <r>
    <s v="EMP0221"/>
    <s v="Sanjay Sharma"/>
    <n v="34"/>
    <s v="26–35"/>
    <x v="0"/>
    <x v="7"/>
    <x v="0"/>
    <x v="111"/>
    <s v=" NA"/>
    <x v="0"/>
    <n v="4"/>
    <n v="90535"/>
    <x v="3"/>
    <x v="3"/>
    <n v="2.92"/>
    <x v="0"/>
    <x v="4"/>
    <n v="2023"/>
    <x v="0"/>
  </r>
  <r>
    <s v="EMP0222"/>
    <s v="Aarav Iyer"/>
    <n v="40"/>
    <s v="36–45"/>
    <x v="0"/>
    <x v="6"/>
    <x v="4"/>
    <x v="133"/>
    <s v=" NA"/>
    <x v="0"/>
    <n v="5"/>
    <n v="34293"/>
    <x v="2"/>
    <x v="0"/>
    <n v="15.25"/>
    <x v="0"/>
    <x v="6"/>
    <n v="2011"/>
    <x v="0"/>
  </r>
  <r>
    <s v="EMP0223"/>
    <s v="Anil Iyer"/>
    <n v="24"/>
    <s v="18–25"/>
    <x v="0"/>
    <x v="0"/>
    <x v="2"/>
    <x v="57"/>
    <s v="2023-07-26"/>
    <x v="1"/>
    <n v="4"/>
    <n v="76896"/>
    <x v="3"/>
    <x v="2"/>
    <n v="3.25"/>
    <x v="1"/>
    <x v="4"/>
    <n v="2023"/>
    <x v="4"/>
  </r>
  <r>
    <s v="EMP0224"/>
    <s v="Suresh Singh"/>
    <n v="21"/>
    <s v="18–25"/>
    <x v="1"/>
    <x v="2"/>
    <x v="4"/>
    <x v="134"/>
    <s v="2025-11-30"/>
    <x v="1"/>
    <n v="2"/>
    <n v="36419"/>
    <x v="2"/>
    <x v="1"/>
    <n v="0.92"/>
    <x v="0"/>
    <x v="6"/>
    <n v="2025"/>
    <x v="5"/>
  </r>
  <r>
    <s v="EMP0225"/>
    <s v="Sana Iyer"/>
    <n v="22"/>
    <s v="18–25"/>
    <x v="0"/>
    <x v="2"/>
    <x v="2"/>
    <x v="135"/>
    <s v="2024-10-05"/>
    <x v="1"/>
    <n v="3"/>
    <n v="70240"/>
    <x v="1"/>
    <x v="3"/>
    <n v="2.42"/>
    <x v="5"/>
    <x v="2"/>
    <n v="2024"/>
    <x v="2"/>
  </r>
  <r>
    <s v="EMP0226"/>
    <s v="Lakshmi Singh"/>
    <n v="23"/>
    <s v="18–25"/>
    <x v="1"/>
    <x v="2"/>
    <x v="3"/>
    <x v="55"/>
    <s v=" NA"/>
    <x v="0"/>
    <n v="3"/>
    <n v="26379"/>
    <x v="4"/>
    <x v="0"/>
    <n v="15.83"/>
    <x v="0"/>
    <x v="4"/>
    <n v="2010"/>
    <x v="0"/>
  </r>
  <r>
    <s v="EMP0227"/>
    <s v="Vikram Das"/>
    <n v="53"/>
    <s v="46–55"/>
    <x v="1"/>
    <x v="2"/>
    <x v="4"/>
    <x v="136"/>
    <s v=" NA"/>
    <x v="0"/>
    <n v="3"/>
    <n v="71995"/>
    <x v="1"/>
    <x v="4"/>
    <n v="8.83"/>
    <x v="0"/>
    <x v="2"/>
    <n v="2017"/>
    <x v="0"/>
  </r>
  <r>
    <s v="EMP0228"/>
    <s v="Ananya Kumar"/>
    <n v="44"/>
    <s v="36–45"/>
    <x v="0"/>
    <x v="1"/>
    <x v="0"/>
    <x v="11"/>
    <s v=" NA"/>
    <x v="0"/>
    <n v="3"/>
    <n v="56271"/>
    <x v="1"/>
    <x v="1"/>
    <n v="0.42"/>
    <x v="5"/>
    <x v="3"/>
    <n v="2026"/>
    <x v="0"/>
  </r>
  <r>
    <s v="EMP0229"/>
    <s v="Priya Patel"/>
    <n v="35"/>
    <s v="26–35"/>
    <x v="0"/>
    <x v="5"/>
    <x v="1"/>
    <x v="137"/>
    <s v=" NA"/>
    <x v="0"/>
    <n v="4"/>
    <n v="42719"/>
    <x v="2"/>
    <x v="2"/>
    <n v="4.58"/>
    <x v="3"/>
    <x v="0"/>
    <n v="2022"/>
    <x v="0"/>
  </r>
  <r>
    <s v="EMP0230"/>
    <s v="Manoj Nair"/>
    <n v="53"/>
    <s v="46–55"/>
    <x v="1"/>
    <x v="6"/>
    <x v="2"/>
    <x v="138"/>
    <s v="2026-10-10"/>
    <x v="1"/>
    <n v="5"/>
    <n v="34238"/>
    <x v="2"/>
    <x v="1"/>
    <n v="0.42"/>
    <x v="5"/>
    <x v="5"/>
    <n v="2026"/>
    <x v="1"/>
  </r>
  <r>
    <s v="EMP0231"/>
    <s v="Ananya Kumar"/>
    <n v="35"/>
    <s v="26–35"/>
    <x v="0"/>
    <x v="2"/>
    <x v="1"/>
    <x v="120"/>
    <s v=" NA"/>
    <x v="0"/>
    <n v="3"/>
    <n v="88533"/>
    <x v="3"/>
    <x v="3"/>
    <n v="1.83"/>
    <x v="3"/>
    <x v="3"/>
    <n v="2024"/>
    <x v="0"/>
  </r>
  <r>
    <s v="EMP0232"/>
    <s v="Suresh Rao"/>
    <n v="31"/>
    <s v="26–35"/>
    <x v="0"/>
    <x v="2"/>
    <x v="1"/>
    <x v="89"/>
    <s v=" NA"/>
    <x v="0"/>
    <n v="3"/>
    <n v="70519"/>
    <x v="1"/>
    <x v="0"/>
    <n v="14.25"/>
    <x v="1"/>
    <x v="1"/>
    <n v="2012"/>
    <x v="0"/>
  </r>
  <r>
    <s v="EMP0233"/>
    <s v="Aditya Menon"/>
    <n v="29"/>
    <s v="26–35"/>
    <x v="1"/>
    <x v="2"/>
    <x v="2"/>
    <x v="2"/>
    <s v=" NA"/>
    <x v="0"/>
    <n v="3"/>
    <n v="34832"/>
    <x v="2"/>
    <x v="1"/>
    <n v="0.83"/>
    <x v="3"/>
    <x v="4"/>
    <n v="2025"/>
    <x v="0"/>
  </r>
  <r>
    <s v="EMP0234"/>
    <s v="Manoj Das"/>
    <n v="38"/>
    <s v="36–45"/>
    <x v="1"/>
    <x v="5"/>
    <x v="0"/>
    <x v="139"/>
    <s v="2020-05-13"/>
    <x v="1"/>
    <n v="2"/>
    <n v="67621"/>
    <x v="1"/>
    <x v="4"/>
    <n v="8.75"/>
    <x v="3"/>
    <x v="3"/>
    <n v="2017"/>
    <x v="9"/>
  </r>
  <r>
    <s v="EMP0235"/>
    <s v="Nisha Kumar"/>
    <n v="30"/>
    <s v="26–35"/>
    <x v="1"/>
    <x v="7"/>
    <x v="0"/>
    <x v="48"/>
    <s v=" NA"/>
    <x v="0"/>
    <n v="5"/>
    <n v="28628"/>
    <x v="4"/>
    <x v="1"/>
    <n v="0.5"/>
    <x v="3"/>
    <x v="4"/>
    <n v="2026"/>
    <x v="0"/>
  </r>
  <r>
    <s v="EMP0236"/>
    <s v="Priya Iyer"/>
    <n v="37"/>
    <s v="36–45"/>
    <x v="1"/>
    <x v="0"/>
    <x v="2"/>
    <x v="66"/>
    <s v="2026-08-13"/>
    <x v="1"/>
    <n v="2"/>
    <n v="90371"/>
    <x v="3"/>
    <x v="1"/>
    <n v="0.5"/>
    <x v="3"/>
    <x v="2"/>
    <n v="2026"/>
    <x v="1"/>
  </r>
  <r>
    <s v="EMP0237"/>
    <s v="Priya Verma"/>
    <n v="25"/>
    <s v="18–25"/>
    <x v="0"/>
    <x v="2"/>
    <x v="1"/>
    <x v="140"/>
    <s v=" NA"/>
    <x v="0"/>
    <n v="5"/>
    <n v="35278"/>
    <x v="2"/>
    <x v="4"/>
    <n v="8.25"/>
    <x v="4"/>
    <x v="6"/>
    <n v="2018"/>
    <x v="0"/>
  </r>
  <r>
    <s v="EMP0238"/>
    <s v="Meera Jain"/>
    <n v="29"/>
    <s v="26–35"/>
    <x v="1"/>
    <x v="7"/>
    <x v="1"/>
    <x v="31"/>
    <s v=" NA"/>
    <x v="0"/>
    <n v="4"/>
    <n v="110321"/>
    <x v="0"/>
    <x v="1"/>
    <n v="0.67"/>
    <x v="0"/>
    <x v="2"/>
    <n v="2026"/>
    <x v="0"/>
  </r>
  <r>
    <s v="EMP0239"/>
    <s v="Anil Jain"/>
    <n v="34"/>
    <s v="26–35"/>
    <x v="1"/>
    <x v="3"/>
    <x v="0"/>
    <x v="141"/>
    <s v=" NA"/>
    <x v="0"/>
    <n v="4"/>
    <n v="52583"/>
    <x v="1"/>
    <x v="2"/>
    <n v="4.17"/>
    <x v="4"/>
    <x v="0"/>
    <n v="2022"/>
    <x v="0"/>
  </r>
  <r>
    <s v="EMP0240"/>
    <s v="Rahul Rao"/>
    <n v="23"/>
    <s v="18–25"/>
    <x v="0"/>
    <x v="3"/>
    <x v="3"/>
    <x v="42"/>
    <s v=" NA"/>
    <x v="0"/>
    <n v="2"/>
    <n v="22180"/>
    <x v="4"/>
    <x v="1"/>
    <n v="0.17"/>
    <x v="5"/>
    <x v="1"/>
    <n v="2026"/>
    <x v="0"/>
  </r>
  <r>
    <s v="EMP0241"/>
    <s v="Priya Nair"/>
    <n v="34"/>
    <s v="26–35"/>
    <x v="1"/>
    <x v="2"/>
    <x v="0"/>
    <x v="142"/>
    <s v="2026-05-10"/>
    <x v="1"/>
    <n v="3"/>
    <n v="26701"/>
    <x v="4"/>
    <x v="1"/>
    <n v="0.5"/>
    <x v="1"/>
    <x v="1"/>
    <n v="2026"/>
    <x v="1"/>
  </r>
  <r>
    <s v="EMP0242"/>
    <s v="Ananya Sharma"/>
    <n v="41"/>
    <s v="36–45"/>
    <x v="0"/>
    <x v="1"/>
    <x v="0"/>
    <x v="143"/>
    <s v="2023-11-13"/>
    <x v="1"/>
    <n v="2"/>
    <n v="18239"/>
    <x v="4"/>
    <x v="3"/>
    <n v="2.92"/>
    <x v="2"/>
    <x v="3"/>
    <n v="2023"/>
    <x v="4"/>
  </r>
  <r>
    <s v="EMP0243"/>
    <s v="Pooja Nair"/>
    <n v="53"/>
    <s v="46–55"/>
    <x v="0"/>
    <x v="4"/>
    <x v="0"/>
    <x v="12"/>
    <s v=" NA"/>
    <x v="0"/>
    <n v="3"/>
    <n v="153212"/>
    <x v="0"/>
    <x v="1"/>
    <n v="0.08"/>
    <x v="1"/>
    <x v="7"/>
    <n v="2026"/>
    <x v="0"/>
  </r>
  <r>
    <s v="EMP0244"/>
    <s v="Lakshmi Shah"/>
    <n v="38"/>
    <s v="36–45"/>
    <x v="1"/>
    <x v="5"/>
    <x v="1"/>
    <x v="124"/>
    <s v=" NA"/>
    <x v="0"/>
    <n v="3"/>
    <n v="92815"/>
    <x v="3"/>
    <x v="2"/>
    <n v="4.67"/>
    <x v="1"/>
    <x v="3"/>
    <n v="2022"/>
    <x v="0"/>
  </r>
  <r>
    <s v="EMP0245"/>
    <s v="Aarav Iyer"/>
    <n v="55"/>
    <s v="46–55"/>
    <x v="0"/>
    <x v="1"/>
    <x v="0"/>
    <x v="122"/>
    <s v=" NA"/>
    <x v="0"/>
    <n v="4"/>
    <n v="41956"/>
    <x v="2"/>
    <x v="3"/>
    <n v="1.75"/>
    <x v="3"/>
    <x v="1"/>
    <n v="2025"/>
    <x v="0"/>
  </r>
  <r>
    <s v="EMP0246"/>
    <s v="Ishita Reddy"/>
    <n v="29"/>
    <s v="26–35"/>
    <x v="0"/>
    <x v="2"/>
    <x v="0"/>
    <x v="144"/>
    <s v="2016-10-22"/>
    <x v="1"/>
    <n v="3"/>
    <n v="50666"/>
    <x v="1"/>
    <x v="0"/>
    <n v="14.42"/>
    <x v="0"/>
    <x v="6"/>
    <n v="2012"/>
    <x v="8"/>
  </r>
  <r>
    <s v="EMP0247"/>
    <s v="Arjun Krishnan"/>
    <n v="42"/>
    <s v="36–45"/>
    <x v="1"/>
    <x v="5"/>
    <x v="0"/>
    <x v="145"/>
    <s v="2025-09-12"/>
    <x v="1"/>
    <n v="5"/>
    <n v="27178"/>
    <x v="4"/>
    <x v="1"/>
    <n v="1"/>
    <x v="2"/>
    <x v="0"/>
    <n v="2025"/>
    <x v="5"/>
  </r>
  <r>
    <s v="EMP0248"/>
    <s v="Sanjay Singh"/>
    <n v="37"/>
    <s v="36–45"/>
    <x v="0"/>
    <x v="6"/>
    <x v="1"/>
    <x v="146"/>
    <s v=" NA"/>
    <x v="0"/>
    <n v="4"/>
    <n v="38250"/>
    <x v="2"/>
    <x v="4"/>
    <n v="5.83"/>
    <x v="1"/>
    <x v="5"/>
    <n v="2020"/>
    <x v="0"/>
  </r>
  <r>
    <s v="EMP0249"/>
    <s v="Aditya Krishnan"/>
    <n v="21"/>
    <s v="18–25"/>
    <x v="0"/>
    <x v="1"/>
    <x v="3"/>
    <x v="44"/>
    <s v=" NA"/>
    <x v="0"/>
    <n v="4"/>
    <n v="40018"/>
    <x v="2"/>
    <x v="3"/>
    <n v="2.58"/>
    <x v="0"/>
    <x v="3"/>
    <n v="2024"/>
    <x v="0"/>
  </r>
  <r>
    <s v="EMP0250"/>
    <s v="Anil Gupta"/>
    <n v="56"/>
    <s v="56+"/>
    <x v="0"/>
    <x v="0"/>
    <x v="2"/>
    <x v="147"/>
    <s v=" NA"/>
    <x v="0"/>
    <n v="3"/>
    <n v="98676"/>
    <x v="3"/>
    <x v="4"/>
    <n v="9.67"/>
    <x v="5"/>
    <x v="5"/>
    <n v="2017"/>
    <x v="0"/>
  </r>
  <r>
    <s v="EMP0251"/>
    <s v="Pooja Das"/>
    <n v="44"/>
    <s v="36–45"/>
    <x v="1"/>
    <x v="2"/>
    <x v="0"/>
    <x v="28"/>
    <s v=" NA"/>
    <x v="0"/>
    <n v="2"/>
    <n v="32124"/>
    <x v="2"/>
    <x v="2"/>
    <n v="3.83"/>
    <x v="1"/>
    <x v="1"/>
    <n v="2022"/>
    <x v="0"/>
  </r>
  <r>
    <s v="EMP0252"/>
    <s v="Ishita Verma"/>
    <n v="49"/>
    <s v="46–55"/>
    <x v="1"/>
    <x v="4"/>
    <x v="0"/>
    <x v="13"/>
    <s v=" NA"/>
    <x v="0"/>
    <n v="3"/>
    <n v="35769"/>
    <x v="2"/>
    <x v="3"/>
    <n v="2.83"/>
    <x v="2"/>
    <x v="3"/>
    <n v="2023"/>
    <x v="0"/>
  </r>
  <r>
    <s v="EMP0253"/>
    <s v="Rohan Patel"/>
    <n v="30"/>
    <s v="26–35"/>
    <x v="0"/>
    <x v="2"/>
    <x v="1"/>
    <x v="131"/>
    <s v=" NA"/>
    <x v="0"/>
    <n v="3"/>
    <n v="67643"/>
    <x v="1"/>
    <x v="3"/>
    <n v="2.75"/>
    <x v="3"/>
    <x v="4"/>
    <n v="2024"/>
    <x v="0"/>
  </r>
  <r>
    <s v="EMP0254"/>
    <s v="Naveen Joshi"/>
    <n v="26"/>
    <s v="26–35"/>
    <x v="1"/>
    <x v="5"/>
    <x v="3"/>
    <x v="148"/>
    <s v="2022-02-21"/>
    <x v="1"/>
    <n v="1"/>
    <n v="75723"/>
    <x v="3"/>
    <x v="4"/>
    <n v="6.5"/>
    <x v="0"/>
    <x v="2"/>
    <n v="2020"/>
    <x v="3"/>
  </r>
  <r>
    <s v="EMP0255"/>
    <s v="Aarav Kannan"/>
    <n v="39"/>
    <s v="36–45"/>
    <x v="0"/>
    <x v="2"/>
    <x v="1"/>
    <x v="4"/>
    <s v=" NA"/>
    <x v="0"/>
    <n v="2"/>
    <n v="46804"/>
    <x v="2"/>
    <x v="3"/>
    <n v="1.08"/>
    <x v="1"/>
    <x v="3"/>
    <n v="2025"/>
    <x v="0"/>
  </r>
  <r>
    <s v="EMP0256"/>
    <s v="Lakshmi Singh"/>
    <n v="40"/>
    <s v="36–45"/>
    <x v="1"/>
    <x v="2"/>
    <x v="0"/>
    <x v="131"/>
    <s v=" NA"/>
    <x v="0"/>
    <n v="4"/>
    <n v="42091"/>
    <x v="2"/>
    <x v="3"/>
    <n v="2.75"/>
    <x v="2"/>
    <x v="5"/>
    <n v="2024"/>
    <x v="0"/>
  </r>
  <r>
    <s v="EMP0257"/>
    <s v="Rohan Shah"/>
    <n v="29"/>
    <s v="26–35"/>
    <x v="1"/>
    <x v="1"/>
    <x v="3"/>
    <x v="149"/>
    <s v="2025-10-24"/>
    <x v="1"/>
    <n v="4"/>
    <n v="27605"/>
    <x v="4"/>
    <x v="1"/>
    <n v="1"/>
    <x v="1"/>
    <x v="5"/>
    <n v="2025"/>
    <x v="5"/>
  </r>
  <r>
    <s v="EMP0258"/>
    <s v="Aarav Joshi"/>
    <n v="60"/>
    <s v="56+"/>
    <x v="0"/>
    <x v="5"/>
    <x v="1"/>
    <x v="150"/>
    <s v=" NA"/>
    <x v="0"/>
    <n v="3"/>
    <n v="21418"/>
    <x v="4"/>
    <x v="4"/>
    <n v="9"/>
    <x v="3"/>
    <x v="2"/>
    <n v="2017"/>
    <x v="0"/>
  </r>
  <r>
    <s v="EMP0259"/>
    <s v="Kavya Menon"/>
    <n v="22"/>
    <s v="18–25"/>
    <x v="1"/>
    <x v="3"/>
    <x v="0"/>
    <x v="151"/>
    <s v=" NA"/>
    <x v="0"/>
    <n v="2"/>
    <n v="65961"/>
    <x v="1"/>
    <x v="4"/>
    <n v="9.83"/>
    <x v="3"/>
    <x v="0"/>
    <n v="2016"/>
    <x v="0"/>
  </r>
  <r>
    <s v="EMP0260"/>
    <s v="Aarav Das"/>
    <n v="54"/>
    <s v="46–55"/>
    <x v="1"/>
    <x v="2"/>
    <x v="3"/>
    <x v="85"/>
    <s v=" NA"/>
    <x v="0"/>
    <n v="4"/>
    <n v="82819"/>
    <x v="3"/>
    <x v="4"/>
    <n v="8.17"/>
    <x v="3"/>
    <x v="3"/>
    <n v="2018"/>
    <x v="0"/>
  </r>
  <r>
    <s v="EMP0261"/>
    <s v="Keerthi Krishnan"/>
    <n v="34"/>
    <s v="26–35"/>
    <x v="1"/>
    <x v="0"/>
    <x v="0"/>
    <x v="116"/>
    <s v=" NA"/>
    <x v="0"/>
    <n v="3"/>
    <n v="22155"/>
    <x v="4"/>
    <x v="0"/>
    <n v="11.67"/>
    <x v="5"/>
    <x v="7"/>
    <n v="2015"/>
    <x v="0"/>
  </r>
  <r>
    <s v="EMP0262"/>
    <s v="Naveen Kannan"/>
    <n v="24"/>
    <s v="18–25"/>
    <x v="1"/>
    <x v="1"/>
    <x v="0"/>
    <x v="152"/>
    <s v="2019-07-03"/>
    <x v="1"/>
    <n v="4"/>
    <n v="39837"/>
    <x v="2"/>
    <x v="4"/>
    <n v="7.92"/>
    <x v="0"/>
    <x v="1"/>
    <n v="2018"/>
    <x v="10"/>
  </r>
  <r>
    <s v="EMP0263"/>
    <s v="Divya Patel"/>
    <n v="34"/>
    <s v="26–35"/>
    <x v="1"/>
    <x v="3"/>
    <x v="1"/>
    <x v="153"/>
    <s v=" NA"/>
    <x v="0"/>
    <n v="3"/>
    <n v="18588"/>
    <x v="4"/>
    <x v="4"/>
    <n v="6.33"/>
    <x v="1"/>
    <x v="2"/>
    <n v="2020"/>
    <x v="0"/>
  </r>
  <r>
    <s v="EMP0264"/>
    <s v="Meera Patel"/>
    <n v="30"/>
    <s v="26–35"/>
    <x v="1"/>
    <x v="1"/>
    <x v="1"/>
    <x v="64"/>
    <s v=" NA"/>
    <x v="0"/>
    <n v="4"/>
    <n v="146798"/>
    <x v="0"/>
    <x v="2"/>
    <n v="3.67"/>
    <x v="2"/>
    <x v="3"/>
    <n v="2023"/>
    <x v="0"/>
  </r>
  <r>
    <s v="EMP0265"/>
    <s v="Keerthi Sharma"/>
    <n v="25"/>
    <s v="18–25"/>
    <x v="0"/>
    <x v="3"/>
    <x v="0"/>
    <x v="11"/>
    <s v=" NA"/>
    <x v="0"/>
    <n v="3"/>
    <n v="157847"/>
    <x v="0"/>
    <x v="1"/>
    <n v="0.42"/>
    <x v="0"/>
    <x v="4"/>
    <n v="2026"/>
    <x v="0"/>
  </r>
  <r>
    <s v="EMP0266"/>
    <s v="Arjun Sharma"/>
    <n v="54"/>
    <s v="46–55"/>
    <x v="1"/>
    <x v="7"/>
    <x v="0"/>
    <x v="154"/>
    <s v="2022-10-08"/>
    <x v="1"/>
    <n v="4"/>
    <n v="98473"/>
    <x v="3"/>
    <x v="2"/>
    <n v="4.25"/>
    <x v="0"/>
    <x v="0"/>
    <n v="2022"/>
    <x v="3"/>
  </r>
  <r>
    <s v="EMP0267"/>
    <s v="Manoj Krishnan"/>
    <n v="42"/>
    <s v="36–45"/>
    <x v="0"/>
    <x v="6"/>
    <x v="0"/>
    <x v="155"/>
    <s v=" NA"/>
    <x v="0"/>
    <n v="3"/>
    <n v="55994"/>
    <x v="1"/>
    <x v="2"/>
    <n v="4.5"/>
    <x v="2"/>
    <x v="1"/>
    <n v="2022"/>
    <x v="0"/>
  </r>
  <r>
    <s v="EMP0268"/>
    <s v="Aditya Joshi"/>
    <n v="23"/>
    <s v="18–25"/>
    <x v="1"/>
    <x v="4"/>
    <x v="0"/>
    <x v="81"/>
    <s v="2026-09-26"/>
    <x v="1"/>
    <n v="5"/>
    <n v="24191"/>
    <x v="4"/>
    <x v="1"/>
    <n v="0.33"/>
    <x v="1"/>
    <x v="1"/>
    <n v="2026"/>
    <x v="1"/>
  </r>
  <r>
    <s v="EMP0269"/>
    <s v="Kiran  Singh"/>
    <n v="40"/>
    <s v="36–45"/>
    <x v="0"/>
    <x v="1"/>
    <x v="0"/>
    <x v="87"/>
    <s v=" NA"/>
    <x v="0"/>
    <n v="4"/>
    <n v="45955"/>
    <x v="2"/>
    <x v="0"/>
    <n v="10.25"/>
    <x v="0"/>
    <x v="4"/>
    <n v="2016"/>
    <x v="0"/>
  </r>
  <r>
    <s v="EMP0270"/>
    <s v="Pooja Patel"/>
    <n v="28"/>
    <s v="26–35"/>
    <x v="1"/>
    <x v="2"/>
    <x v="4"/>
    <x v="48"/>
    <s v=" NA"/>
    <x v="0"/>
    <n v="4"/>
    <n v="64335"/>
    <x v="1"/>
    <x v="1"/>
    <n v="0.5"/>
    <x v="5"/>
    <x v="5"/>
    <n v="2026"/>
    <x v="0"/>
  </r>
  <r>
    <s v="EMP0271"/>
    <s v="Ishita Kannan"/>
    <n v="53"/>
    <s v="46–55"/>
    <x v="1"/>
    <x v="3"/>
    <x v="0"/>
    <x v="156"/>
    <s v="2025-12-27"/>
    <x v="1"/>
    <n v="4"/>
    <n v="56357"/>
    <x v="1"/>
    <x v="1"/>
    <n v="0.75"/>
    <x v="1"/>
    <x v="0"/>
    <n v="2025"/>
    <x v="5"/>
  </r>
  <r>
    <s v="EMP0272"/>
    <s v="Meera Jain"/>
    <n v="43"/>
    <s v="36–45"/>
    <x v="0"/>
    <x v="0"/>
    <x v="0"/>
    <x v="48"/>
    <s v=" NA"/>
    <x v="0"/>
    <n v="1"/>
    <n v="41411"/>
    <x v="2"/>
    <x v="1"/>
    <n v="0.5"/>
    <x v="1"/>
    <x v="3"/>
    <n v="2026"/>
    <x v="0"/>
  </r>
  <r>
    <s v="EMP0273"/>
    <s v="Lakshmi Menon"/>
    <n v="34"/>
    <s v="26–35"/>
    <x v="1"/>
    <x v="4"/>
    <x v="0"/>
    <x v="118"/>
    <s v=" NA"/>
    <x v="0"/>
    <n v="3"/>
    <n v="25315"/>
    <x v="4"/>
    <x v="3"/>
    <n v="2.17"/>
    <x v="0"/>
    <x v="4"/>
    <n v="2024"/>
    <x v="0"/>
  </r>
  <r>
    <s v="EMP0274"/>
    <s v="Manoj Reddy"/>
    <n v="36"/>
    <s v="36–45"/>
    <x v="0"/>
    <x v="4"/>
    <x v="0"/>
    <x v="2"/>
    <s v=" NA"/>
    <x v="0"/>
    <n v="4"/>
    <n v="65465"/>
    <x v="1"/>
    <x v="1"/>
    <n v="0.83"/>
    <x v="5"/>
    <x v="7"/>
    <n v="2025"/>
    <x v="0"/>
  </r>
  <r>
    <s v="EMP0275"/>
    <s v="Aditya Nair"/>
    <n v="29"/>
    <s v="26–35"/>
    <x v="0"/>
    <x v="6"/>
    <x v="1"/>
    <x v="102"/>
    <s v=" NA"/>
    <x v="0"/>
    <n v="4"/>
    <n v="38109"/>
    <x v="2"/>
    <x v="1"/>
    <n v="1"/>
    <x v="2"/>
    <x v="5"/>
    <n v="2025"/>
    <x v="0"/>
  </r>
  <r>
    <s v="EMP0276"/>
    <s v="Arjun Kumar"/>
    <n v="44"/>
    <s v="36–45"/>
    <x v="1"/>
    <x v="4"/>
    <x v="0"/>
    <x v="137"/>
    <s v=" NA"/>
    <x v="0"/>
    <n v="4"/>
    <n v="72139"/>
    <x v="1"/>
    <x v="2"/>
    <n v="4.58"/>
    <x v="1"/>
    <x v="3"/>
    <n v="2022"/>
    <x v="0"/>
  </r>
  <r>
    <s v="EMP0277"/>
    <s v="Keerthi Kumar"/>
    <n v="32"/>
    <s v="26–35"/>
    <x v="1"/>
    <x v="0"/>
    <x v="0"/>
    <x v="137"/>
    <s v=" NA"/>
    <x v="0"/>
    <n v="2"/>
    <n v="36720"/>
    <x v="2"/>
    <x v="2"/>
    <n v="4.58"/>
    <x v="0"/>
    <x v="7"/>
    <n v="2022"/>
    <x v="0"/>
  </r>
  <r>
    <s v="EMP0278"/>
    <s v="Sanjay Bose"/>
    <n v="33"/>
    <s v="26–35"/>
    <x v="1"/>
    <x v="1"/>
    <x v="1"/>
    <x v="157"/>
    <s v="2026-08-31"/>
    <x v="1"/>
    <n v="3"/>
    <n v="37070"/>
    <x v="2"/>
    <x v="1"/>
    <n v="0.5"/>
    <x v="4"/>
    <x v="2"/>
    <n v="2026"/>
    <x v="1"/>
  </r>
  <r>
    <s v="EMP0279"/>
    <s v="Vikram Kumar"/>
    <n v="29"/>
    <s v="26–35"/>
    <x v="1"/>
    <x v="2"/>
    <x v="0"/>
    <x v="39"/>
    <s v=" NA"/>
    <x v="0"/>
    <n v="4"/>
    <n v="57714"/>
    <x v="1"/>
    <x v="1"/>
    <n v="0.33"/>
    <x v="3"/>
    <x v="4"/>
    <n v="2026"/>
    <x v="0"/>
  </r>
  <r>
    <s v="EMP0280"/>
    <s v="Vikram Reddy"/>
    <n v="53"/>
    <s v="46–55"/>
    <x v="0"/>
    <x v="2"/>
    <x v="0"/>
    <x v="126"/>
    <s v=" NA"/>
    <x v="0"/>
    <n v="4"/>
    <n v="74328"/>
    <x v="1"/>
    <x v="0"/>
    <n v="10.92"/>
    <x v="0"/>
    <x v="4"/>
    <n v="2015"/>
    <x v="0"/>
  </r>
  <r>
    <s v="EMP0281"/>
    <s v="Pooja Kumar"/>
    <n v="40"/>
    <s v="36–45"/>
    <x v="0"/>
    <x v="2"/>
    <x v="2"/>
    <x v="122"/>
    <s v=" NA"/>
    <x v="0"/>
    <n v="4"/>
    <n v="59371"/>
    <x v="1"/>
    <x v="3"/>
    <n v="1.75"/>
    <x v="3"/>
    <x v="5"/>
    <n v="2025"/>
    <x v="0"/>
  </r>
  <r>
    <s v="EMP0282"/>
    <s v="Neha Krishnan"/>
    <n v="24"/>
    <s v="18–25"/>
    <x v="1"/>
    <x v="3"/>
    <x v="1"/>
    <x v="96"/>
    <s v=" NA"/>
    <x v="0"/>
    <n v="4"/>
    <n v="169829"/>
    <x v="0"/>
    <x v="0"/>
    <n v="14.42"/>
    <x v="5"/>
    <x v="7"/>
    <n v="2012"/>
    <x v="0"/>
  </r>
  <r>
    <s v="EMP0283"/>
    <s v="Naveen Sharma"/>
    <n v="34"/>
    <s v="26–35"/>
    <x v="1"/>
    <x v="1"/>
    <x v="0"/>
    <x v="158"/>
    <s v="2026-08-29"/>
    <x v="1"/>
    <n v="3"/>
    <n v="63044"/>
    <x v="1"/>
    <x v="1"/>
    <n v="0.5"/>
    <x v="5"/>
    <x v="4"/>
    <n v="2026"/>
    <x v="1"/>
  </r>
  <r>
    <s v="EMP0284"/>
    <s v="Manoj Nair"/>
    <n v="34"/>
    <s v="26–35"/>
    <x v="0"/>
    <x v="2"/>
    <x v="1"/>
    <x v="159"/>
    <s v="2018-12-04"/>
    <x v="1"/>
    <n v="3"/>
    <n v="67495"/>
    <x v="1"/>
    <x v="4"/>
    <n v="7.75"/>
    <x v="2"/>
    <x v="1"/>
    <n v="2018"/>
    <x v="11"/>
  </r>
  <r>
    <s v="EMP0285"/>
    <s v="Aarav Kannan"/>
    <n v="30"/>
    <s v="26–35"/>
    <x v="0"/>
    <x v="2"/>
    <x v="1"/>
    <x v="160"/>
    <s v="2022-12-24"/>
    <x v="1"/>
    <n v="3"/>
    <n v="24315"/>
    <x v="4"/>
    <x v="2"/>
    <n v="3.92"/>
    <x v="3"/>
    <x v="0"/>
    <n v="2022"/>
    <x v="3"/>
  </r>
  <r>
    <s v="EMP0286"/>
    <s v="Nisha Patel"/>
    <n v="21"/>
    <s v="18–25"/>
    <x v="0"/>
    <x v="0"/>
    <x v="0"/>
    <x v="161"/>
    <s v=" NA"/>
    <x v="0"/>
    <n v="5"/>
    <n v="96488"/>
    <x v="3"/>
    <x v="4"/>
    <n v="6.25"/>
    <x v="2"/>
    <x v="5"/>
    <n v="2020"/>
    <x v="0"/>
  </r>
  <r>
    <s v="EMP0287"/>
    <s v="Anil Menon"/>
    <n v="27"/>
    <s v="26–35"/>
    <x v="1"/>
    <x v="2"/>
    <x v="1"/>
    <x v="111"/>
    <s v=" NA"/>
    <x v="0"/>
    <n v="5"/>
    <n v="37128"/>
    <x v="2"/>
    <x v="3"/>
    <n v="2.92"/>
    <x v="3"/>
    <x v="0"/>
    <n v="2023"/>
    <x v="0"/>
  </r>
  <r>
    <s v="EMP0288"/>
    <s v="Neha Bose"/>
    <n v="36"/>
    <s v="36–45"/>
    <x v="0"/>
    <x v="0"/>
    <x v="0"/>
    <x v="111"/>
    <s v=" NA"/>
    <x v="0"/>
    <n v="4"/>
    <n v="47252"/>
    <x v="2"/>
    <x v="3"/>
    <n v="2.92"/>
    <x v="0"/>
    <x v="7"/>
    <n v="2023"/>
    <x v="0"/>
  </r>
  <r>
    <s v="EMP0289"/>
    <s v="Aditya Menon"/>
    <n v="25"/>
    <s v="18–25"/>
    <x v="1"/>
    <x v="2"/>
    <x v="2"/>
    <x v="27"/>
    <s v=" NA"/>
    <x v="0"/>
    <n v="3"/>
    <n v="39093"/>
    <x v="2"/>
    <x v="1"/>
    <n v="0.75"/>
    <x v="1"/>
    <x v="0"/>
    <n v="2026"/>
    <x v="0"/>
  </r>
  <r>
    <s v="EMP0290"/>
    <s v="Ishita Reddy"/>
    <n v="37"/>
    <s v="36–45"/>
    <x v="0"/>
    <x v="2"/>
    <x v="0"/>
    <x v="48"/>
    <s v=" NA"/>
    <x v="0"/>
    <n v="1"/>
    <n v="31295"/>
    <x v="2"/>
    <x v="1"/>
    <n v="0.5"/>
    <x v="2"/>
    <x v="6"/>
    <n v="2026"/>
    <x v="0"/>
  </r>
  <r>
    <s v="EMP0291"/>
    <s v="Ananya Menon"/>
    <n v="39"/>
    <s v="36–45"/>
    <x v="1"/>
    <x v="1"/>
    <x v="1"/>
    <x v="42"/>
    <s v=" NA"/>
    <x v="0"/>
    <n v="3"/>
    <n v="60900"/>
    <x v="1"/>
    <x v="1"/>
    <n v="0.17"/>
    <x v="0"/>
    <x v="4"/>
    <n v="2026"/>
    <x v="0"/>
  </r>
  <r>
    <s v="EMP0292"/>
    <s v="Aditya Jain"/>
    <n v="24"/>
    <s v="18–25"/>
    <x v="1"/>
    <x v="1"/>
    <x v="2"/>
    <x v="53"/>
    <s v=" NA"/>
    <x v="0"/>
    <n v="4"/>
    <n v="113020"/>
    <x v="0"/>
    <x v="3"/>
    <n v="2.42"/>
    <x v="0"/>
    <x v="2"/>
    <n v="2024"/>
    <x v="0"/>
  </r>
  <r>
    <s v="EMP0293"/>
    <s v="Priya Menon"/>
    <n v="32"/>
    <s v="26–35"/>
    <x v="1"/>
    <x v="7"/>
    <x v="0"/>
    <x v="162"/>
    <s v=" NA"/>
    <x v="0"/>
    <n v="4"/>
    <n v="25628"/>
    <x v="4"/>
    <x v="4"/>
    <n v="7.25"/>
    <x v="1"/>
    <x v="5"/>
    <n v="2019"/>
    <x v="0"/>
  </r>
  <r>
    <s v="EMP0294"/>
    <s v="Nisha Nair"/>
    <n v="45"/>
    <s v="36–45"/>
    <x v="1"/>
    <x v="4"/>
    <x v="1"/>
    <x v="14"/>
    <s v=" NA"/>
    <x v="0"/>
    <n v="2"/>
    <n v="89091"/>
    <x v="3"/>
    <x v="4"/>
    <n v="6.42"/>
    <x v="1"/>
    <x v="2"/>
    <n v="2020"/>
    <x v="0"/>
  </r>
  <r>
    <s v="EMP0295"/>
    <s v="Kiran Gupta"/>
    <n v="33"/>
    <s v="26–35"/>
    <x v="0"/>
    <x v="7"/>
    <x v="4"/>
    <x v="163"/>
    <s v="2026-04-02"/>
    <x v="1"/>
    <n v="3"/>
    <n v="85225"/>
    <x v="3"/>
    <x v="1"/>
    <n v="0.57999999999999996"/>
    <x v="4"/>
    <x v="1"/>
    <n v="2026"/>
    <x v="1"/>
  </r>
  <r>
    <s v="EMP0296"/>
    <s v="Rohan Nair"/>
    <n v="47"/>
    <s v="46–55"/>
    <x v="1"/>
    <x v="2"/>
    <x v="0"/>
    <x v="32"/>
    <s v=" NA"/>
    <x v="0"/>
    <n v="3"/>
    <n v="51432"/>
    <x v="1"/>
    <x v="0"/>
    <n v="10.83"/>
    <x v="0"/>
    <x v="0"/>
    <n v="2015"/>
    <x v="0"/>
  </r>
  <r>
    <s v="EMP0297"/>
    <s v="Keerthi Krishnan"/>
    <n v="34"/>
    <s v="26–35"/>
    <x v="1"/>
    <x v="3"/>
    <x v="3"/>
    <x v="141"/>
    <s v=" NA"/>
    <x v="0"/>
    <n v="3"/>
    <n v="31682"/>
    <x v="2"/>
    <x v="2"/>
    <n v="4.17"/>
    <x v="2"/>
    <x v="2"/>
    <n v="2022"/>
    <x v="0"/>
  </r>
  <r>
    <s v="EMP0298"/>
    <s v="Kiran Sharma"/>
    <n v="33"/>
    <s v="26–35"/>
    <x v="1"/>
    <x v="2"/>
    <x v="0"/>
    <x v="91"/>
    <s v=" NA"/>
    <x v="0"/>
    <n v="3"/>
    <n v="80745"/>
    <x v="3"/>
    <x v="0"/>
    <n v="13.17"/>
    <x v="3"/>
    <x v="7"/>
    <n v="2013"/>
    <x v="0"/>
  </r>
  <r>
    <s v="EMP0299"/>
    <s v="Aisha Reddy"/>
    <n v="34"/>
    <s v="26–35"/>
    <x v="1"/>
    <x v="2"/>
    <x v="0"/>
    <x v="29"/>
    <s v=" NA"/>
    <x v="0"/>
    <n v="3"/>
    <n v="25642"/>
    <x v="4"/>
    <x v="3"/>
    <n v="1.33"/>
    <x v="5"/>
    <x v="7"/>
    <n v="2025"/>
    <x v="0"/>
  </r>
  <r>
    <s v="EMP0300"/>
    <s v="Pooja Joshi"/>
    <n v="22"/>
    <s v="18–25"/>
    <x v="0"/>
    <x v="1"/>
    <x v="1"/>
    <x v="13"/>
    <s v=" NA"/>
    <x v="0"/>
    <n v="3"/>
    <n v="148652"/>
    <x v="0"/>
    <x v="3"/>
    <n v="2.83"/>
    <x v="3"/>
    <x v="7"/>
    <n v="2023"/>
    <x v="0"/>
  </r>
  <r>
    <s v="EMP0301"/>
    <s v="Aditya Menon"/>
    <n v="51"/>
    <s v="46–55"/>
    <x v="0"/>
    <x v="6"/>
    <x v="0"/>
    <x v="122"/>
    <s v=" NA"/>
    <x v="0"/>
    <n v="2"/>
    <n v="95959"/>
    <x v="3"/>
    <x v="3"/>
    <n v="1.75"/>
    <x v="5"/>
    <x v="3"/>
    <n v="2025"/>
    <x v="0"/>
  </r>
  <r>
    <s v="EMP0302"/>
    <s v="Kavya Singh"/>
    <n v="24"/>
    <s v="18–25"/>
    <x v="1"/>
    <x v="1"/>
    <x v="0"/>
    <x v="164"/>
    <s v="2017-01-23"/>
    <x v="1"/>
    <n v="3"/>
    <n v="22371"/>
    <x v="4"/>
    <x v="0"/>
    <n v="12.08"/>
    <x v="1"/>
    <x v="4"/>
    <n v="2014"/>
    <x v="7"/>
  </r>
  <r>
    <s v="EMP0303"/>
    <s v="Anil Joshi"/>
    <n v="22"/>
    <s v="18–25"/>
    <x v="0"/>
    <x v="2"/>
    <x v="0"/>
    <x v="120"/>
    <s v=" NA"/>
    <x v="0"/>
    <n v="3"/>
    <n v="40905"/>
    <x v="2"/>
    <x v="3"/>
    <n v="1.83"/>
    <x v="1"/>
    <x v="3"/>
    <n v="2024"/>
    <x v="0"/>
  </r>
  <r>
    <s v="EMP0304"/>
    <s v="Nisha Gupta"/>
    <n v="44"/>
    <s v="36–45"/>
    <x v="1"/>
    <x v="6"/>
    <x v="2"/>
    <x v="165"/>
    <s v=" NA"/>
    <x v="0"/>
    <n v="4"/>
    <n v="67168"/>
    <x v="1"/>
    <x v="4"/>
    <n v="8.58"/>
    <x v="2"/>
    <x v="5"/>
    <n v="2018"/>
    <x v="0"/>
  </r>
  <r>
    <s v="EMP0305"/>
    <s v="Lakshmi Kumar"/>
    <n v="32"/>
    <s v="26–35"/>
    <x v="0"/>
    <x v="3"/>
    <x v="4"/>
    <x v="166"/>
    <s v=" NA"/>
    <x v="0"/>
    <n v="3"/>
    <n v="22684"/>
    <x v="4"/>
    <x v="0"/>
    <n v="12.83"/>
    <x v="5"/>
    <x v="0"/>
    <n v="2013"/>
    <x v="0"/>
  </r>
  <r>
    <s v="EMP0306"/>
    <s v="Suresh Nair"/>
    <n v="54"/>
    <s v="46–55"/>
    <x v="1"/>
    <x v="7"/>
    <x v="0"/>
    <x v="80"/>
    <s v=" NA"/>
    <x v="0"/>
    <n v="5"/>
    <n v="33393"/>
    <x v="2"/>
    <x v="3"/>
    <n v="2.5"/>
    <x v="0"/>
    <x v="5"/>
    <n v="2024"/>
    <x v="0"/>
  </r>
  <r>
    <s v="EMP0307"/>
    <s v="Meera Gupta"/>
    <n v="35"/>
    <s v="26–35"/>
    <x v="0"/>
    <x v="3"/>
    <x v="0"/>
    <x v="39"/>
    <s v=" NA"/>
    <x v="0"/>
    <n v="2"/>
    <n v="19781"/>
    <x v="4"/>
    <x v="1"/>
    <n v="0.33"/>
    <x v="5"/>
    <x v="4"/>
    <n v="2026"/>
    <x v="0"/>
  </r>
  <r>
    <s v="EMP0308"/>
    <s v="Rohan Das"/>
    <n v="30"/>
    <s v="26–35"/>
    <x v="0"/>
    <x v="7"/>
    <x v="0"/>
    <x v="33"/>
    <s v=" NA"/>
    <x v="0"/>
    <n v="4"/>
    <n v="66735"/>
    <x v="1"/>
    <x v="2"/>
    <n v="4.33"/>
    <x v="4"/>
    <x v="2"/>
    <n v="2022"/>
    <x v="0"/>
  </r>
  <r>
    <s v="EMP0309"/>
    <s v="Aditya Verma"/>
    <n v="26"/>
    <s v="26–35"/>
    <x v="1"/>
    <x v="7"/>
    <x v="3"/>
    <x v="167"/>
    <s v=" NA"/>
    <x v="0"/>
    <n v="4"/>
    <n v="21369"/>
    <x v="4"/>
    <x v="4"/>
    <n v="6.58"/>
    <x v="0"/>
    <x v="2"/>
    <n v="2020"/>
    <x v="0"/>
  </r>
  <r>
    <s v="EMP0310"/>
    <s v="Lakshmi Verma"/>
    <n v="45"/>
    <s v="36–45"/>
    <x v="0"/>
    <x v="1"/>
    <x v="0"/>
    <x v="16"/>
    <s v=" NA"/>
    <x v="0"/>
    <n v="3"/>
    <n v="24614"/>
    <x v="4"/>
    <x v="0"/>
    <n v="13.08"/>
    <x v="4"/>
    <x v="5"/>
    <n v="2013"/>
    <x v="0"/>
  </r>
  <r>
    <s v="EMP0311"/>
    <s v="Sana Kannan"/>
    <n v="55"/>
    <s v="46–55"/>
    <x v="1"/>
    <x v="6"/>
    <x v="4"/>
    <x v="168"/>
    <s v=" NA"/>
    <x v="0"/>
    <n v="3"/>
    <n v="67979"/>
    <x v="1"/>
    <x v="4"/>
    <n v="9.25"/>
    <x v="0"/>
    <x v="1"/>
    <n v="2017"/>
    <x v="0"/>
  </r>
  <r>
    <s v="EMP0312"/>
    <s v="Neha Rao"/>
    <n v="29"/>
    <s v="26–35"/>
    <x v="0"/>
    <x v="3"/>
    <x v="0"/>
    <x v="169"/>
    <s v="2026-09-14"/>
    <x v="1"/>
    <n v="2"/>
    <n v="146408"/>
    <x v="0"/>
    <x v="1"/>
    <n v="0.08"/>
    <x v="1"/>
    <x v="4"/>
    <n v="2026"/>
    <x v="1"/>
  </r>
  <r>
    <s v="EMP0313"/>
    <s v="Aisha Krishnan"/>
    <n v="28"/>
    <s v="26–35"/>
    <x v="0"/>
    <x v="4"/>
    <x v="1"/>
    <x v="99"/>
    <s v=" NA"/>
    <x v="0"/>
    <n v="3"/>
    <n v="50541"/>
    <x v="1"/>
    <x v="0"/>
    <n v="11.08"/>
    <x v="4"/>
    <x v="5"/>
    <n v="2015"/>
    <x v="0"/>
  </r>
  <r>
    <s v="EMP0314"/>
    <s v="Rohan Iyer"/>
    <n v="47"/>
    <s v="46–55"/>
    <x v="0"/>
    <x v="2"/>
    <x v="1"/>
    <x v="120"/>
    <s v=" NA"/>
    <x v="0"/>
    <n v="3"/>
    <n v="77465"/>
    <x v="3"/>
    <x v="3"/>
    <n v="1.83"/>
    <x v="3"/>
    <x v="3"/>
    <n v="2024"/>
    <x v="0"/>
  </r>
  <r>
    <s v="EMP0315"/>
    <s v="Meera Sharma"/>
    <n v="58"/>
    <s v="56+"/>
    <x v="1"/>
    <x v="3"/>
    <x v="0"/>
    <x v="170"/>
    <s v=" NA"/>
    <x v="0"/>
    <n v="4"/>
    <n v="36634"/>
    <x v="2"/>
    <x v="2"/>
    <n v="3.33"/>
    <x v="1"/>
    <x v="7"/>
    <n v="2023"/>
    <x v="0"/>
  </r>
  <r>
    <s v="EMP0316"/>
    <s v="Aisha Joshi"/>
    <n v="48"/>
    <s v="46–55"/>
    <x v="0"/>
    <x v="0"/>
    <x v="0"/>
    <x v="9"/>
    <s v=" NA"/>
    <x v="0"/>
    <n v="4"/>
    <n v="78301"/>
    <x v="3"/>
    <x v="2"/>
    <n v="4.92"/>
    <x v="5"/>
    <x v="4"/>
    <n v="2021"/>
    <x v="0"/>
  </r>
  <r>
    <s v="EMP0317"/>
    <s v="Kiran Krishnan"/>
    <n v="40"/>
    <s v="36–45"/>
    <x v="0"/>
    <x v="6"/>
    <x v="4"/>
    <x v="170"/>
    <s v=" NA"/>
    <x v="0"/>
    <n v="3"/>
    <n v="28025"/>
    <x v="4"/>
    <x v="2"/>
    <n v="3.33"/>
    <x v="2"/>
    <x v="3"/>
    <n v="2023"/>
    <x v="0"/>
  </r>
  <r>
    <s v="EMP0318"/>
    <s v="Sanjay Rao"/>
    <n v="25"/>
    <s v="18–25"/>
    <x v="1"/>
    <x v="1"/>
    <x v="3"/>
    <x v="41"/>
    <s v=" NA"/>
    <x v="0"/>
    <n v="3"/>
    <n v="174403"/>
    <x v="0"/>
    <x v="2"/>
    <n v="3.42"/>
    <x v="2"/>
    <x v="3"/>
    <n v="2023"/>
    <x v="0"/>
  </r>
  <r>
    <s v="EMP0319"/>
    <s v="Ishita Kannan"/>
    <n v="34"/>
    <s v="26–35"/>
    <x v="1"/>
    <x v="0"/>
    <x v="0"/>
    <x v="48"/>
    <s v=" NA"/>
    <x v="0"/>
    <n v="3"/>
    <n v="38226"/>
    <x v="2"/>
    <x v="1"/>
    <n v="0.5"/>
    <x v="0"/>
    <x v="6"/>
    <n v="2026"/>
    <x v="0"/>
  </r>
  <r>
    <s v="EMP0320"/>
    <s v="Pooja Jain"/>
    <n v="24"/>
    <s v="18–25"/>
    <x v="1"/>
    <x v="2"/>
    <x v="0"/>
    <x v="13"/>
    <s v=" NA"/>
    <x v="0"/>
    <n v="3"/>
    <n v="138611"/>
    <x v="0"/>
    <x v="3"/>
    <n v="2.83"/>
    <x v="0"/>
    <x v="6"/>
    <n v="2023"/>
    <x v="0"/>
  </r>
  <r>
    <s v="EMP0321"/>
    <s v="Nisha Nair"/>
    <n v="54"/>
    <s v="46–55"/>
    <x v="0"/>
    <x v="0"/>
    <x v="0"/>
    <x v="137"/>
    <s v=" NA"/>
    <x v="0"/>
    <n v="1"/>
    <n v="60098"/>
    <x v="1"/>
    <x v="2"/>
    <n v="4.58"/>
    <x v="1"/>
    <x v="4"/>
    <n v="2022"/>
    <x v="0"/>
  </r>
  <r>
    <s v="EMP0322"/>
    <s v="Suresh Kumar"/>
    <n v="28"/>
    <s v="26–35"/>
    <x v="0"/>
    <x v="2"/>
    <x v="0"/>
    <x v="84"/>
    <s v=" NA"/>
    <x v="0"/>
    <n v="5"/>
    <n v="111827"/>
    <x v="0"/>
    <x v="2"/>
    <n v="3.08"/>
    <x v="2"/>
    <x v="4"/>
    <n v="2023"/>
    <x v="0"/>
  </r>
  <r>
    <s v="EMP0323"/>
    <s v="Rahul Kannan"/>
    <n v="37"/>
    <s v="36–45"/>
    <x v="1"/>
    <x v="2"/>
    <x v="1"/>
    <x v="14"/>
    <s v=" NA"/>
    <x v="0"/>
    <n v="4"/>
    <n v="42083"/>
    <x v="2"/>
    <x v="4"/>
    <n v="6.42"/>
    <x v="2"/>
    <x v="0"/>
    <n v="2020"/>
    <x v="0"/>
  </r>
  <r>
    <s v="EMP0324"/>
    <s v="Rahul Menon"/>
    <n v="34"/>
    <s v="26–35"/>
    <x v="0"/>
    <x v="2"/>
    <x v="1"/>
    <x v="171"/>
    <s v="2024-07-29"/>
    <x v="1"/>
    <n v="4"/>
    <n v="32016"/>
    <x v="2"/>
    <x v="3"/>
    <n v="2.08"/>
    <x v="4"/>
    <x v="4"/>
    <n v="2024"/>
    <x v="2"/>
  </r>
  <r>
    <s v="EMP0325"/>
    <s v="Naveen Singh"/>
    <n v="46"/>
    <s v="46–55"/>
    <x v="0"/>
    <x v="2"/>
    <x v="1"/>
    <x v="12"/>
    <s v=" NA"/>
    <x v="0"/>
    <n v="4"/>
    <n v="21011"/>
    <x v="4"/>
    <x v="1"/>
    <n v="0.08"/>
    <x v="1"/>
    <x v="0"/>
    <n v="2026"/>
    <x v="0"/>
  </r>
  <r>
    <s v="EMP0326"/>
    <s v="Aisha Reddy"/>
    <n v="38"/>
    <s v="36–45"/>
    <x v="0"/>
    <x v="1"/>
    <x v="4"/>
    <x v="172"/>
    <s v=" NA"/>
    <x v="0"/>
    <n v="4"/>
    <n v="90785"/>
    <x v="3"/>
    <x v="3"/>
    <n v="3"/>
    <x v="0"/>
    <x v="3"/>
    <n v="2023"/>
    <x v="0"/>
  </r>
  <r>
    <s v="EMP0327"/>
    <s v="Ananya Singh"/>
    <n v="29"/>
    <s v="26–35"/>
    <x v="1"/>
    <x v="6"/>
    <x v="1"/>
    <x v="66"/>
    <s v=" NA"/>
    <x v="0"/>
    <n v="4"/>
    <n v="48108"/>
    <x v="2"/>
    <x v="1"/>
    <n v="0.57999999999999996"/>
    <x v="0"/>
    <x v="0"/>
    <n v="2026"/>
    <x v="0"/>
  </r>
  <r>
    <s v="EMP0328"/>
    <s v="Arjun Reddy"/>
    <n v="38"/>
    <s v="36–45"/>
    <x v="1"/>
    <x v="2"/>
    <x v="4"/>
    <x v="173"/>
    <s v=" NA"/>
    <x v="0"/>
    <n v="2"/>
    <n v="159532"/>
    <x v="0"/>
    <x v="2"/>
    <n v="4"/>
    <x v="0"/>
    <x v="2"/>
    <n v="2022"/>
    <x v="0"/>
  </r>
  <r>
    <s v="EMP0329"/>
    <s v="Sana Verma"/>
    <n v="42"/>
    <s v="36–45"/>
    <x v="1"/>
    <x v="3"/>
    <x v="1"/>
    <x v="69"/>
    <s v=" NA"/>
    <x v="0"/>
    <n v="2"/>
    <n v="55222"/>
    <x v="1"/>
    <x v="4"/>
    <n v="5.42"/>
    <x v="3"/>
    <x v="2"/>
    <n v="2021"/>
    <x v="0"/>
  </r>
  <r>
    <s v="EMP0330"/>
    <s v="Anil Bose"/>
    <n v="23"/>
    <s v="18–25"/>
    <x v="1"/>
    <x v="3"/>
    <x v="1"/>
    <x v="47"/>
    <s v=" NA"/>
    <x v="0"/>
    <n v="3"/>
    <n v="37603"/>
    <x v="2"/>
    <x v="2"/>
    <n v="3.92"/>
    <x v="2"/>
    <x v="5"/>
    <n v="2022"/>
    <x v="0"/>
  </r>
  <r>
    <s v="EMP0331"/>
    <s v="Divya Gupta"/>
    <n v="24"/>
    <s v="18–25"/>
    <x v="0"/>
    <x v="1"/>
    <x v="1"/>
    <x v="174"/>
    <s v=" NA"/>
    <x v="0"/>
    <n v="3"/>
    <n v="49238"/>
    <x v="2"/>
    <x v="4"/>
    <n v="6.83"/>
    <x v="0"/>
    <x v="0"/>
    <n v="2019"/>
    <x v="0"/>
  </r>
  <r>
    <s v="EMP0332"/>
    <s v="Sanjay Kannan"/>
    <n v="40"/>
    <s v="36–45"/>
    <x v="0"/>
    <x v="3"/>
    <x v="0"/>
    <x v="172"/>
    <s v=" NA"/>
    <x v="0"/>
    <n v="3"/>
    <n v="86706"/>
    <x v="3"/>
    <x v="3"/>
    <n v="3"/>
    <x v="0"/>
    <x v="1"/>
    <n v="2023"/>
    <x v="0"/>
  </r>
  <r>
    <s v="EMP0333"/>
    <s v="Rahul Shah"/>
    <n v="43"/>
    <s v="36–45"/>
    <x v="1"/>
    <x v="2"/>
    <x v="0"/>
    <x v="116"/>
    <s v=" NA"/>
    <x v="0"/>
    <n v="3"/>
    <n v="54079"/>
    <x v="1"/>
    <x v="0"/>
    <n v="11.67"/>
    <x v="3"/>
    <x v="7"/>
    <n v="2015"/>
    <x v="0"/>
  </r>
  <r>
    <s v="EMP0334"/>
    <s v="Kavya Jain"/>
    <n v="31"/>
    <s v="26–35"/>
    <x v="1"/>
    <x v="6"/>
    <x v="0"/>
    <x v="51"/>
    <s v=" NA"/>
    <x v="0"/>
    <n v="2"/>
    <n v="25476"/>
    <x v="4"/>
    <x v="3"/>
    <n v="2"/>
    <x v="5"/>
    <x v="3"/>
    <n v="2024"/>
    <x v="0"/>
  </r>
  <r>
    <s v="EMP0335"/>
    <s v="Neha Shah"/>
    <n v="45"/>
    <s v="36–45"/>
    <x v="0"/>
    <x v="2"/>
    <x v="1"/>
    <x v="175"/>
    <s v="2026-06-26"/>
    <x v="1"/>
    <n v="5"/>
    <n v="92384"/>
    <x v="3"/>
    <x v="1"/>
    <n v="0.17"/>
    <x v="0"/>
    <x v="7"/>
    <n v="2026"/>
    <x v="1"/>
  </r>
  <r>
    <s v="EMP0336"/>
    <s v="Naveen  Krishnan"/>
    <n v="29"/>
    <s v="26–35"/>
    <x v="0"/>
    <x v="3"/>
    <x v="0"/>
    <x v="29"/>
    <s v=" NA"/>
    <x v="0"/>
    <n v="3"/>
    <n v="46091"/>
    <x v="2"/>
    <x v="3"/>
    <n v="1.33"/>
    <x v="1"/>
    <x v="2"/>
    <n v="2025"/>
    <x v="0"/>
  </r>
  <r>
    <s v="EMP0337"/>
    <s v="Divya Verma"/>
    <n v="30"/>
    <s v="26–35"/>
    <x v="1"/>
    <x v="7"/>
    <x v="0"/>
    <x v="52"/>
    <s v=" NA"/>
    <x v="0"/>
    <n v="4"/>
    <n v="99202"/>
    <x v="3"/>
    <x v="3"/>
    <n v="2.08"/>
    <x v="1"/>
    <x v="7"/>
    <n v="2024"/>
    <x v="0"/>
  </r>
  <r>
    <s v="EMP0338"/>
    <s v="Ishita Joshi"/>
    <n v="30"/>
    <s v="26–35"/>
    <x v="1"/>
    <x v="1"/>
    <x v="1"/>
    <x v="176"/>
    <s v="2023-12-06"/>
    <x v="1"/>
    <n v="2"/>
    <n v="96224"/>
    <x v="3"/>
    <x v="2"/>
    <n v="3.25"/>
    <x v="0"/>
    <x v="0"/>
    <n v="2023"/>
    <x v="4"/>
  </r>
  <r>
    <s v="EMP0339"/>
    <s v="Rahul Menon"/>
    <n v="41"/>
    <s v="36–45"/>
    <x v="0"/>
    <x v="1"/>
    <x v="2"/>
    <x v="44"/>
    <s v=" NA"/>
    <x v="0"/>
    <n v="4"/>
    <n v="63284"/>
    <x v="1"/>
    <x v="3"/>
    <n v="2.58"/>
    <x v="5"/>
    <x v="5"/>
    <n v="2024"/>
    <x v="0"/>
  </r>
  <r>
    <s v="EMP0340"/>
    <s v="Divya Joshi"/>
    <n v="29"/>
    <s v="26–35"/>
    <x v="0"/>
    <x v="0"/>
    <x v="1"/>
    <x v="173"/>
    <s v=" NA"/>
    <x v="0"/>
    <n v="3"/>
    <n v="31464"/>
    <x v="2"/>
    <x v="2"/>
    <n v="4"/>
    <x v="3"/>
    <x v="7"/>
    <n v="2022"/>
    <x v="0"/>
  </r>
  <r>
    <s v="EMP0341"/>
    <s v="Arjun Kumar"/>
    <n v="46"/>
    <s v="46–55"/>
    <x v="0"/>
    <x v="5"/>
    <x v="3"/>
    <x v="177"/>
    <s v="2025-09-06"/>
    <x v="1"/>
    <n v="3"/>
    <n v="39395"/>
    <x v="2"/>
    <x v="3"/>
    <n v="1.5"/>
    <x v="0"/>
    <x v="1"/>
    <n v="2025"/>
    <x v="5"/>
  </r>
  <r>
    <s v="EMP0342"/>
    <s v="Naveen Joshi"/>
    <n v="33"/>
    <s v="26–35"/>
    <x v="0"/>
    <x v="1"/>
    <x v="1"/>
    <x v="178"/>
    <s v=" NA"/>
    <x v="0"/>
    <n v="4"/>
    <n v="18206"/>
    <x v="4"/>
    <x v="2"/>
    <n v="3.17"/>
    <x v="2"/>
    <x v="7"/>
    <n v="2023"/>
    <x v="0"/>
  </r>
  <r>
    <s v="EMP0343"/>
    <s v="Rahul Gupta"/>
    <n v="33"/>
    <s v="26–35"/>
    <x v="0"/>
    <x v="1"/>
    <x v="2"/>
    <x v="179"/>
    <s v="2021-04-08"/>
    <x v="1"/>
    <n v="4"/>
    <n v="27785"/>
    <x v="4"/>
    <x v="4"/>
    <n v="5.58"/>
    <x v="3"/>
    <x v="1"/>
    <n v="2021"/>
    <x v="6"/>
  </r>
  <r>
    <s v="EMP0344"/>
    <s v="Priya Gupta"/>
    <n v="37"/>
    <s v="36–45"/>
    <x v="1"/>
    <x v="0"/>
    <x v="0"/>
    <x v="180"/>
    <s v=" NA"/>
    <x v="0"/>
    <n v="4"/>
    <n v="22046"/>
    <x v="4"/>
    <x v="0"/>
    <n v="14"/>
    <x v="0"/>
    <x v="4"/>
    <n v="2012"/>
    <x v="0"/>
  </r>
  <r>
    <s v="EMP0345"/>
    <s v="Pooja Shah"/>
    <n v="29"/>
    <s v="26–35"/>
    <x v="0"/>
    <x v="4"/>
    <x v="0"/>
    <x v="181"/>
    <s v=" NA"/>
    <x v="0"/>
    <n v="5"/>
    <n v="29174"/>
    <x v="4"/>
    <x v="4"/>
    <n v="5.25"/>
    <x v="3"/>
    <x v="5"/>
    <n v="2021"/>
    <x v="0"/>
  </r>
  <r>
    <s v="EMP0346"/>
    <s v="Suresh Kannan"/>
    <n v="43"/>
    <s v="36–45"/>
    <x v="1"/>
    <x v="5"/>
    <x v="0"/>
    <x v="98"/>
    <s v=" NA"/>
    <x v="0"/>
    <n v="4"/>
    <n v="73791"/>
    <x v="1"/>
    <x v="4"/>
    <n v="5.5"/>
    <x v="0"/>
    <x v="1"/>
    <n v="2021"/>
    <x v="0"/>
  </r>
  <r>
    <s v="EMP0347"/>
    <s v="Vikram Sharma"/>
    <n v="28"/>
    <s v="26–35"/>
    <x v="1"/>
    <x v="0"/>
    <x v="1"/>
    <x v="7"/>
    <s v=" NA"/>
    <x v="0"/>
    <n v="5"/>
    <n v="40237"/>
    <x v="2"/>
    <x v="1"/>
    <n v="0.25"/>
    <x v="3"/>
    <x v="3"/>
    <n v="2026"/>
    <x v="0"/>
  </r>
  <r>
    <s v="EMP0348"/>
    <s v="Arjun Sharma"/>
    <n v="49"/>
    <s v="46–55"/>
    <x v="1"/>
    <x v="2"/>
    <x v="0"/>
    <x v="182"/>
    <s v="2022-06-09"/>
    <x v="1"/>
    <n v="4"/>
    <n v="70327"/>
    <x v="1"/>
    <x v="2"/>
    <n v="4.25"/>
    <x v="5"/>
    <x v="5"/>
    <n v="2022"/>
    <x v="3"/>
  </r>
  <r>
    <s v="EMP0349"/>
    <s v="Naveen Jain"/>
    <n v="32"/>
    <s v="26–35"/>
    <x v="1"/>
    <x v="1"/>
    <x v="4"/>
    <x v="173"/>
    <s v=" NA"/>
    <x v="0"/>
    <n v="5"/>
    <n v="55241"/>
    <x v="1"/>
    <x v="2"/>
    <n v="4"/>
    <x v="0"/>
    <x v="2"/>
    <n v="2022"/>
    <x v="0"/>
  </r>
  <r>
    <s v="EMP0350"/>
    <s v="Arjun Das"/>
    <n v="26"/>
    <s v="26–35"/>
    <x v="1"/>
    <x v="6"/>
    <x v="1"/>
    <x v="183"/>
    <s v=" NA"/>
    <x v="0"/>
    <n v="2"/>
    <n v="28216"/>
    <x v="4"/>
    <x v="3"/>
    <n v="1.25"/>
    <x v="0"/>
    <x v="0"/>
    <n v="2025"/>
    <x v="0"/>
  </r>
  <r>
    <s v="EMP0351"/>
    <s v="Rohan Sharma"/>
    <n v="35"/>
    <s v="26–35"/>
    <x v="0"/>
    <x v="4"/>
    <x v="3"/>
    <x v="167"/>
    <s v=" NA"/>
    <x v="0"/>
    <n v="3"/>
    <n v="36358"/>
    <x v="2"/>
    <x v="4"/>
    <n v="6.58"/>
    <x v="2"/>
    <x v="3"/>
    <n v="2020"/>
    <x v="0"/>
  </r>
  <r>
    <s v="EMP0352"/>
    <s v="Ishita Kumar"/>
    <n v="48"/>
    <s v="46–55"/>
    <x v="0"/>
    <x v="1"/>
    <x v="0"/>
    <x v="43"/>
    <s v=" NA"/>
    <x v="0"/>
    <n v="4"/>
    <n v="29991"/>
    <x v="4"/>
    <x v="3"/>
    <n v="2.67"/>
    <x v="0"/>
    <x v="5"/>
    <n v="2024"/>
    <x v="0"/>
  </r>
  <r>
    <s v="EMP0353"/>
    <s v="Aisha Krishnan"/>
    <n v="28"/>
    <s v="26–35"/>
    <x v="1"/>
    <x v="3"/>
    <x v="1"/>
    <x v="12"/>
    <s v=" NA"/>
    <x v="0"/>
    <n v="3"/>
    <n v="99059"/>
    <x v="3"/>
    <x v="1"/>
    <n v="0.08"/>
    <x v="0"/>
    <x v="6"/>
    <n v="2026"/>
    <x v="0"/>
  </r>
  <r>
    <s v="EMP0354"/>
    <s v="Lakshmi Jain"/>
    <n v="25"/>
    <s v="18–25"/>
    <x v="1"/>
    <x v="5"/>
    <x v="3"/>
    <x v="184"/>
    <s v="2026-08-06"/>
    <x v="1"/>
    <n v="3"/>
    <n v="89272"/>
    <x v="3"/>
    <x v="1"/>
    <n v="0.33"/>
    <x v="5"/>
    <x v="4"/>
    <n v="2026"/>
    <x v="1"/>
  </r>
  <r>
    <s v="EMP0355"/>
    <s v="Vikram Nair"/>
    <n v="35"/>
    <s v="26–35"/>
    <x v="0"/>
    <x v="2"/>
    <x v="1"/>
    <x v="131"/>
    <s v=" NA"/>
    <x v="0"/>
    <n v="4"/>
    <n v="54986"/>
    <x v="1"/>
    <x v="3"/>
    <n v="2.75"/>
    <x v="3"/>
    <x v="3"/>
    <n v="2024"/>
    <x v="0"/>
  </r>
  <r>
    <s v="EMP0356"/>
    <s v="Anil Kumar"/>
    <n v="27"/>
    <s v="26–35"/>
    <x v="1"/>
    <x v="3"/>
    <x v="3"/>
    <x v="39"/>
    <s v=" NA"/>
    <x v="0"/>
    <n v="2"/>
    <n v="74295"/>
    <x v="1"/>
    <x v="1"/>
    <n v="0.33"/>
    <x v="3"/>
    <x v="6"/>
    <n v="2026"/>
    <x v="0"/>
  </r>
  <r>
    <s v="EMP0357"/>
    <s v="Rahul Joshi"/>
    <n v="52"/>
    <s v="46–55"/>
    <x v="1"/>
    <x v="1"/>
    <x v="0"/>
    <x v="41"/>
    <s v=" NA"/>
    <x v="0"/>
    <n v="4"/>
    <n v="66897"/>
    <x v="1"/>
    <x v="2"/>
    <n v="3.42"/>
    <x v="4"/>
    <x v="4"/>
    <n v="2023"/>
    <x v="0"/>
  </r>
  <r>
    <s v="EMP0358"/>
    <s v="Priya Jain"/>
    <n v="37"/>
    <s v="36–45"/>
    <x v="0"/>
    <x v="2"/>
    <x v="3"/>
    <x v="34"/>
    <s v=" NA"/>
    <x v="0"/>
    <n v="4"/>
    <n v="30463"/>
    <x v="2"/>
    <x v="2"/>
    <n v="3.5"/>
    <x v="3"/>
    <x v="5"/>
    <n v="2023"/>
    <x v="0"/>
  </r>
  <r>
    <s v="EMP0359"/>
    <s v="Priya Das"/>
    <n v="23"/>
    <s v="18–25"/>
    <x v="0"/>
    <x v="0"/>
    <x v="0"/>
    <x v="185"/>
    <s v=" NA"/>
    <x v="0"/>
    <n v="2"/>
    <n v="48057"/>
    <x v="2"/>
    <x v="4"/>
    <n v="9.92"/>
    <x v="3"/>
    <x v="3"/>
    <n v="2016"/>
    <x v="0"/>
  </r>
  <r>
    <s v="EMP0360"/>
    <s v="Vikram Patel"/>
    <n v="31"/>
    <s v="26–35"/>
    <x v="0"/>
    <x v="3"/>
    <x v="0"/>
    <x v="186"/>
    <s v=" NA"/>
    <x v="0"/>
    <n v="3"/>
    <n v="94948"/>
    <x v="3"/>
    <x v="0"/>
    <n v="11.58"/>
    <x v="3"/>
    <x v="7"/>
    <n v="2015"/>
    <x v="0"/>
  </r>
  <r>
    <s v="EMP0361"/>
    <s v="Aisha Jain"/>
    <n v="33"/>
    <s v="26–35"/>
    <x v="1"/>
    <x v="3"/>
    <x v="3"/>
    <x v="187"/>
    <s v="2024-08-04"/>
    <x v="1"/>
    <n v="3"/>
    <n v="159541"/>
    <x v="0"/>
    <x v="2"/>
    <n v="4.5"/>
    <x v="3"/>
    <x v="3"/>
    <n v="2022"/>
    <x v="2"/>
  </r>
  <r>
    <s v="EMP0362"/>
    <s v="Naveen Menon"/>
    <n v="29"/>
    <s v="26–35"/>
    <x v="1"/>
    <x v="7"/>
    <x v="4"/>
    <x v="34"/>
    <s v=" NA"/>
    <x v="0"/>
    <n v="3"/>
    <n v="31276"/>
    <x v="2"/>
    <x v="2"/>
    <n v="3.5"/>
    <x v="3"/>
    <x v="0"/>
    <n v="2023"/>
    <x v="0"/>
  </r>
  <r>
    <s v="EMP0363"/>
    <s v="Suresh Singh"/>
    <n v="22"/>
    <s v="18–25"/>
    <x v="0"/>
    <x v="6"/>
    <x v="0"/>
    <x v="102"/>
    <s v=" NA"/>
    <x v="0"/>
    <n v="5"/>
    <n v="53402"/>
    <x v="1"/>
    <x v="1"/>
    <n v="1"/>
    <x v="2"/>
    <x v="5"/>
    <n v="2025"/>
    <x v="0"/>
  </r>
  <r>
    <s v="EMP0364"/>
    <s v="Meera Gupta"/>
    <n v="35"/>
    <s v="26–35"/>
    <x v="0"/>
    <x v="6"/>
    <x v="2"/>
    <x v="96"/>
    <s v=" NA"/>
    <x v="0"/>
    <n v="3"/>
    <n v="111961"/>
    <x v="0"/>
    <x v="0"/>
    <n v="14.42"/>
    <x v="5"/>
    <x v="2"/>
    <n v="2012"/>
    <x v="0"/>
  </r>
  <r>
    <s v="EMP0365"/>
    <s v="Aditya Bose"/>
    <n v="28"/>
    <s v="26–35"/>
    <x v="1"/>
    <x v="4"/>
    <x v="3"/>
    <x v="84"/>
    <s v=" NA"/>
    <x v="0"/>
    <n v="3"/>
    <n v="59385"/>
    <x v="1"/>
    <x v="2"/>
    <n v="3.08"/>
    <x v="5"/>
    <x v="5"/>
    <n v="2023"/>
    <x v="0"/>
  </r>
  <r>
    <s v="EMP0366"/>
    <s v="Aarav Reddy"/>
    <n v="26"/>
    <s v="26–35"/>
    <x v="0"/>
    <x v="5"/>
    <x v="1"/>
    <x v="183"/>
    <s v=" NA"/>
    <x v="0"/>
    <n v="2"/>
    <n v="87761"/>
    <x v="3"/>
    <x v="3"/>
    <n v="1.25"/>
    <x v="1"/>
    <x v="4"/>
    <n v="2025"/>
    <x v="0"/>
  </r>
  <r>
    <s v="EMP0367"/>
    <s v="Aisha Reddy"/>
    <n v="48"/>
    <s v="46–55"/>
    <x v="0"/>
    <x v="3"/>
    <x v="0"/>
    <x v="111"/>
    <s v=" NA"/>
    <x v="0"/>
    <n v="1"/>
    <n v="34464"/>
    <x v="2"/>
    <x v="3"/>
    <n v="2.92"/>
    <x v="2"/>
    <x v="7"/>
    <n v="2023"/>
    <x v="0"/>
  </r>
  <r>
    <s v="EMP0368"/>
    <s v="Aditya Reddy"/>
    <n v="22"/>
    <s v="18–25"/>
    <x v="1"/>
    <x v="6"/>
    <x v="0"/>
    <x v="72"/>
    <s v=" NA"/>
    <x v="0"/>
    <n v="3"/>
    <n v="18236"/>
    <x v="4"/>
    <x v="4"/>
    <n v="7.08"/>
    <x v="0"/>
    <x v="1"/>
    <n v="2019"/>
    <x v="0"/>
  </r>
  <r>
    <s v="EMP0369"/>
    <s v="Arjun Singh"/>
    <n v="22"/>
    <s v="18–25"/>
    <x v="0"/>
    <x v="4"/>
    <x v="2"/>
    <x v="115"/>
    <s v=" NA"/>
    <x v="0"/>
    <n v="3"/>
    <n v="54308"/>
    <x v="1"/>
    <x v="3"/>
    <n v="1.42"/>
    <x v="3"/>
    <x v="4"/>
    <n v="2025"/>
    <x v="0"/>
  </r>
  <r>
    <s v="EMP0370"/>
    <s v="Ananya Reddy"/>
    <n v="50"/>
    <s v="46–55"/>
    <x v="0"/>
    <x v="3"/>
    <x v="1"/>
    <x v="102"/>
    <s v=" NA"/>
    <x v="0"/>
    <n v="4"/>
    <n v="79569"/>
    <x v="3"/>
    <x v="1"/>
    <n v="1"/>
    <x v="0"/>
    <x v="3"/>
    <n v="2025"/>
    <x v="0"/>
  </r>
  <r>
    <s v="EMP0371"/>
    <s v="Rahul Bose"/>
    <n v="25"/>
    <s v="18–25"/>
    <x v="1"/>
    <x v="5"/>
    <x v="3"/>
    <x v="188"/>
    <s v="2025-09-10"/>
    <x v="1"/>
    <n v="4"/>
    <n v="76146"/>
    <x v="3"/>
    <x v="1"/>
    <n v="1"/>
    <x v="0"/>
    <x v="2"/>
    <n v="2025"/>
    <x v="5"/>
  </r>
  <r>
    <s v="EMP0372"/>
    <s v="Kavya Kannan"/>
    <n v="42"/>
    <s v="36–45"/>
    <x v="0"/>
    <x v="1"/>
    <x v="1"/>
    <x v="189"/>
    <s v="2024-11-03"/>
    <x v="1"/>
    <n v="3"/>
    <n v="99224"/>
    <x v="3"/>
    <x v="3"/>
    <n v="2"/>
    <x v="3"/>
    <x v="7"/>
    <n v="2024"/>
    <x v="2"/>
  </r>
  <r>
    <s v="EMP0373"/>
    <s v="Arjun Bose"/>
    <n v="43"/>
    <s v="36–45"/>
    <x v="0"/>
    <x v="5"/>
    <x v="0"/>
    <x v="124"/>
    <s v=" NA"/>
    <x v="0"/>
    <n v="4"/>
    <n v="61262"/>
    <x v="1"/>
    <x v="2"/>
    <n v="4.67"/>
    <x v="0"/>
    <x v="3"/>
    <n v="2022"/>
    <x v="0"/>
  </r>
  <r>
    <s v="EMP0374"/>
    <s v="Ananya Kannan"/>
    <n v="24"/>
    <s v="18–25"/>
    <x v="1"/>
    <x v="2"/>
    <x v="0"/>
    <x v="11"/>
    <s v=" NA"/>
    <x v="0"/>
    <n v="3"/>
    <n v="91933"/>
    <x v="3"/>
    <x v="1"/>
    <n v="0.42"/>
    <x v="2"/>
    <x v="5"/>
    <n v="2026"/>
    <x v="0"/>
  </r>
  <r>
    <s v="EMP0375"/>
    <s v="Ananya Menon"/>
    <n v="35"/>
    <s v="26–35"/>
    <x v="1"/>
    <x v="0"/>
    <x v="1"/>
    <x v="80"/>
    <s v=" NA"/>
    <x v="0"/>
    <n v="3"/>
    <n v="158045"/>
    <x v="0"/>
    <x v="3"/>
    <n v="2.5"/>
    <x v="0"/>
    <x v="7"/>
    <n v="2024"/>
    <x v="0"/>
  </r>
  <r>
    <s v="EMP0376"/>
    <s v="Arjun Kumar"/>
    <n v="27"/>
    <s v="26–35"/>
    <x v="1"/>
    <x v="1"/>
    <x v="3"/>
    <x v="4"/>
    <s v=" NA"/>
    <x v="0"/>
    <n v="4"/>
    <n v="20518"/>
    <x v="4"/>
    <x v="3"/>
    <n v="1.08"/>
    <x v="5"/>
    <x v="3"/>
    <n v="2025"/>
    <x v="0"/>
  </r>
  <r>
    <s v="EMP0377"/>
    <s v="Nisha Joshi"/>
    <n v="44"/>
    <s v="36–45"/>
    <x v="1"/>
    <x v="7"/>
    <x v="1"/>
    <x v="127"/>
    <s v="2025-05-20"/>
    <x v="1"/>
    <n v="2"/>
    <n v="20126"/>
    <x v="4"/>
    <x v="3"/>
    <n v="1.42"/>
    <x v="2"/>
    <x v="4"/>
    <n v="2025"/>
    <x v="5"/>
  </r>
  <r>
    <s v="EMP0378"/>
    <s v="Ishita Nair"/>
    <n v="33"/>
    <s v="26–35"/>
    <x v="0"/>
    <x v="0"/>
    <x v="2"/>
    <x v="190"/>
    <s v="2016-08-14"/>
    <x v="1"/>
    <n v="2"/>
    <n v="35545"/>
    <x v="2"/>
    <x v="0"/>
    <n v="13.92"/>
    <x v="2"/>
    <x v="7"/>
    <n v="2012"/>
    <x v="8"/>
  </r>
  <r>
    <s v="EMP0379"/>
    <s v="Anil Krishnan"/>
    <n v="61"/>
    <s v="56+"/>
    <x v="1"/>
    <x v="6"/>
    <x v="0"/>
    <x v="172"/>
    <s v=" NA"/>
    <x v="0"/>
    <n v="4"/>
    <n v="28622"/>
    <x v="4"/>
    <x v="3"/>
    <n v="3"/>
    <x v="1"/>
    <x v="7"/>
    <n v="2023"/>
    <x v="0"/>
  </r>
  <r>
    <s v="EMP0380"/>
    <s v="Divya Menon"/>
    <n v="28"/>
    <s v="26–35"/>
    <x v="0"/>
    <x v="6"/>
    <x v="0"/>
    <x v="79"/>
    <s v=" NA"/>
    <x v="0"/>
    <n v="3"/>
    <n v="74664"/>
    <x v="1"/>
    <x v="2"/>
    <n v="5"/>
    <x v="0"/>
    <x v="5"/>
    <n v="2021"/>
    <x v="0"/>
  </r>
  <r>
    <s v="EMP0381"/>
    <s v="Kiran Kumar"/>
    <n v="43"/>
    <s v="36–45"/>
    <x v="0"/>
    <x v="6"/>
    <x v="2"/>
    <x v="6"/>
    <s v=" NA"/>
    <x v="0"/>
    <n v="3"/>
    <n v="52813"/>
    <x v="1"/>
    <x v="1"/>
    <n v="0.92"/>
    <x v="3"/>
    <x v="1"/>
    <n v="2025"/>
    <x v="0"/>
  </r>
  <r>
    <s v="EMP0382"/>
    <s v="Manoj Iyer"/>
    <n v="24"/>
    <s v="18–25"/>
    <x v="1"/>
    <x v="6"/>
    <x v="0"/>
    <x v="191"/>
    <s v="2025-12-03"/>
    <x v="1"/>
    <n v="3"/>
    <n v="54144"/>
    <x v="1"/>
    <x v="1"/>
    <n v="0.83"/>
    <x v="5"/>
    <x v="4"/>
    <n v="2025"/>
    <x v="5"/>
  </r>
  <r>
    <s v="EMP0383"/>
    <s v="Rahul Verma"/>
    <n v="25"/>
    <s v="18–25"/>
    <x v="1"/>
    <x v="3"/>
    <x v="2"/>
    <x v="192"/>
    <s v="2025-12-12"/>
    <x v="1"/>
    <n v="4"/>
    <n v="36843"/>
    <x v="2"/>
    <x v="1"/>
    <n v="0.75"/>
    <x v="0"/>
    <x v="3"/>
    <n v="2025"/>
    <x v="5"/>
  </r>
  <r>
    <s v="EMP0384"/>
    <s v="Aarav Menon"/>
    <n v="30"/>
    <s v="26–35"/>
    <x v="0"/>
    <x v="6"/>
    <x v="1"/>
    <x v="74"/>
    <s v=" NA"/>
    <x v="0"/>
    <n v="3"/>
    <n v="85270"/>
    <x v="3"/>
    <x v="3"/>
    <n v="2.33"/>
    <x v="3"/>
    <x v="5"/>
    <n v="2024"/>
    <x v="0"/>
  </r>
  <r>
    <s v="EMP0385"/>
    <s v="Priya Jain"/>
    <n v="34"/>
    <s v="26–35"/>
    <x v="0"/>
    <x v="3"/>
    <x v="2"/>
    <x v="193"/>
    <s v="2020-07-21"/>
    <x v="1"/>
    <n v="4"/>
    <n v="65154"/>
    <x v="1"/>
    <x v="0"/>
    <n v="13.67"/>
    <x v="0"/>
    <x v="3"/>
    <n v="2013"/>
    <x v="9"/>
  </r>
  <r>
    <s v="EMP0386"/>
    <s v="Naveen Jain"/>
    <n v="38"/>
    <s v="36–45"/>
    <x v="1"/>
    <x v="1"/>
    <x v="2"/>
    <x v="47"/>
    <s v=" NA"/>
    <x v="0"/>
    <n v="3"/>
    <n v="45899"/>
    <x v="2"/>
    <x v="2"/>
    <n v="3.92"/>
    <x v="0"/>
    <x v="6"/>
    <n v="2022"/>
    <x v="0"/>
  </r>
  <r>
    <s v="EMP0387"/>
    <s v="Kiran Menon"/>
    <n v="23"/>
    <s v="18–25"/>
    <x v="1"/>
    <x v="2"/>
    <x v="0"/>
    <x v="65"/>
    <s v=" NA"/>
    <x v="0"/>
    <n v="3"/>
    <n v="62768"/>
    <x v="1"/>
    <x v="0"/>
    <n v="12.58"/>
    <x v="1"/>
    <x v="6"/>
    <n v="2014"/>
    <x v="0"/>
  </r>
  <r>
    <s v="EMP0388"/>
    <s v="Keerthi Jain"/>
    <n v="22"/>
    <s v="18–25"/>
    <x v="1"/>
    <x v="3"/>
    <x v="0"/>
    <x v="194"/>
    <s v="2024-11-05"/>
    <x v="1"/>
    <n v="4"/>
    <n v="35247"/>
    <x v="2"/>
    <x v="3"/>
    <n v="2.08"/>
    <x v="0"/>
    <x v="4"/>
    <n v="2024"/>
    <x v="2"/>
  </r>
  <r>
    <s v="EMP0389"/>
    <s v="Pooja Gupta"/>
    <n v="22"/>
    <s v="18–25"/>
    <x v="1"/>
    <x v="6"/>
    <x v="1"/>
    <x v="195"/>
    <s v="2019-06-07"/>
    <x v="1"/>
    <n v="3"/>
    <n v="159359"/>
    <x v="0"/>
    <x v="0"/>
    <n v="12.25"/>
    <x v="2"/>
    <x v="4"/>
    <n v="2014"/>
    <x v="10"/>
  </r>
  <r>
    <s v="EMP0390"/>
    <s v="Keerthi Iyer"/>
    <n v="35"/>
    <s v="26–35"/>
    <x v="1"/>
    <x v="1"/>
    <x v="0"/>
    <x v="196"/>
    <s v=" NA"/>
    <x v="0"/>
    <n v="3"/>
    <n v="43528"/>
    <x v="2"/>
    <x v="2"/>
    <n v="4.25"/>
    <x v="2"/>
    <x v="0"/>
    <n v="2022"/>
    <x v="0"/>
  </r>
  <r>
    <s v="EMP0391"/>
    <s v="Ishita Singh"/>
    <n v="34"/>
    <s v="26–35"/>
    <x v="0"/>
    <x v="3"/>
    <x v="0"/>
    <x v="197"/>
    <s v="2021-06-22"/>
    <x v="1"/>
    <n v="4"/>
    <n v="35367"/>
    <x v="2"/>
    <x v="4"/>
    <n v="7.08"/>
    <x v="4"/>
    <x v="7"/>
    <n v="2019"/>
    <x v="6"/>
  </r>
  <r>
    <s v="EMP0392"/>
    <s v="Lakshmi Krishnan"/>
    <n v="36"/>
    <s v="36–45"/>
    <x v="0"/>
    <x v="0"/>
    <x v="4"/>
    <x v="42"/>
    <s v=" NA"/>
    <x v="0"/>
    <n v="5"/>
    <n v="74454"/>
    <x v="1"/>
    <x v="1"/>
    <n v="0.17"/>
    <x v="3"/>
    <x v="0"/>
    <n v="2026"/>
    <x v="0"/>
  </r>
  <r>
    <s v="EMP0393"/>
    <s v="Aditya Kumar"/>
    <n v="27"/>
    <s v="26–35"/>
    <x v="1"/>
    <x v="0"/>
    <x v="1"/>
    <x v="198"/>
    <s v=" NA"/>
    <x v="0"/>
    <n v="5"/>
    <n v="72636"/>
    <x v="1"/>
    <x v="4"/>
    <n v="9.5"/>
    <x v="1"/>
    <x v="0"/>
    <n v="2017"/>
    <x v="0"/>
  </r>
  <r>
    <s v="EMP0394"/>
    <s v="Aditya Krishnan"/>
    <n v="30"/>
    <s v="26–35"/>
    <x v="1"/>
    <x v="5"/>
    <x v="1"/>
    <x v="28"/>
    <s v=" NA"/>
    <x v="0"/>
    <n v="4"/>
    <n v="115231"/>
    <x v="0"/>
    <x v="2"/>
    <n v="3.83"/>
    <x v="1"/>
    <x v="7"/>
    <n v="2022"/>
    <x v="0"/>
  </r>
  <r>
    <s v="EMP0395"/>
    <s v="Aarav Reddy"/>
    <n v="23"/>
    <s v="18–25"/>
    <x v="0"/>
    <x v="0"/>
    <x v="2"/>
    <x v="124"/>
    <s v=" NA"/>
    <x v="0"/>
    <n v="4"/>
    <n v="98723"/>
    <x v="3"/>
    <x v="2"/>
    <n v="4.67"/>
    <x v="0"/>
    <x v="5"/>
    <n v="2022"/>
    <x v="0"/>
  </r>
  <r>
    <s v="EMP0396"/>
    <s v="Nisha Bose"/>
    <n v="42"/>
    <s v="36–45"/>
    <x v="1"/>
    <x v="3"/>
    <x v="1"/>
    <x v="199"/>
    <s v="2025-12-31"/>
    <x v="1"/>
    <n v="4"/>
    <n v="89291"/>
    <x v="3"/>
    <x v="1"/>
    <n v="0.67"/>
    <x v="3"/>
    <x v="1"/>
    <n v="2025"/>
    <x v="5"/>
  </r>
  <r>
    <s v="EMP0397"/>
    <s v="Keerthi Singh"/>
    <n v="23"/>
    <s v="18–25"/>
    <x v="0"/>
    <x v="7"/>
    <x v="3"/>
    <x v="200"/>
    <s v="2020-10-08"/>
    <x v="1"/>
    <n v="3"/>
    <n v="130497"/>
    <x v="0"/>
    <x v="4"/>
    <n v="7.5"/>
    <x v="5"/>
    <x v="6"/>
    <n v="2019"/>
    <x v="9"/>
  </r>
  <r>
    <s v="EMP0398"/>
    <s v="Vikram Jain"/>
    <n v="21"/>
    <s v="18–25"/>
    <x v="0"/>
    <x v="7"/>
    <x v="0"/>
    <x v="201"/>
    <s v="2026-09-06"/>
    <x v="1"/>
    <n v="2"/>
    <n v="98408"/>
    <x v="3"/>
    <x v="1"/>
    <n v="0.25"/>
    <x v="5"/>
    <x v="2"/>
    <n v="2026"/>
    <x v="1"/>
  </r>
  <r>
    <s v="EMP0399"/>
    <s v="Divya Rao"/>
    <n v="46"/>
    <s v="46–55"/>
    <x v="1"/>
    <x v="2"/>
    <x v="1"/>
    <x v="202"/>
    <s v="2024-11-18"/>
    <x v="1"/>
    <n v="3"/>
    <n v="50803"/>
    <x v="1"/>
    <x v="3"/>
    <n v="1.75"/>
    <x v="0"/>
    <x v="0"/>
    <n v="2024"/>
    <x v="2"/>
  </r>
  <r>
    <s v="EMP0400"/>
    <s v="Suresh Rao"/>
    <n v="35"/>
    <s v="26–35"/>
    <x v="1"/>
    <x v="0"/>
    <x v="0"/>
    <x v="203"/>
    <s v="2023-12-31"/>
    <x v="1"/>
    <n v="3"/>
    <n v="92004"/>
    <x v="3"/>
    <x v="3"/>
    <n v="2.83"/>
    <x v="3"/>
    <x v="7"/>
    <n v="2023"/>
    <x v="4"/>
  </r>
  <r>
    <s v="EMP0401"/>
    <s v="Neha Krishnan"/>
    <n v="29"/>
    <s v="26–35"/>
    <x v="0"/>
    <x v="2"/>
    <x v="1"/>
    <x v="204"/>
    <s v=" NA"/>
    <x v="0"/>
    <n v="4"/>
    <n v="88012"/>
    <x v="3"/>
    <x v="4"/>
    <n v="8.67"/>
    <x v="5"/>
    <x v="7"/>
    <n v="2018"/>
    <x v="0"/>
  </r>
  <r>
    <s v="EMP0402"/>
    <s v="Sana Menon"/>
    <n v="52"/>
    <s v="46–55"/>
    <x v="0"/>
    <x v="5"/>
    <x v="3"/>
    <x v="205"/>
    <s v="2018-08-22"/>
    <x v="1"/>
    <n v="1"/>
    <n v="20324"/>
    <x v="4"/>
    <x v="0"/>
    <n v="12.25"/>
    <x v="1"/>
    <x v="4"/>
    <n v="2014"/>
    <x v="11"/>
  </r>
  <r>
    <s v="EMP0403"/>
    <s v="Priya  Menon"/>
    <n v="23"/>
    <s v="18–25"/>
    <x v="1"/>
    <x v="3"/>
    <x v="1"/>
    <x v="206"/>
    <s v="2017-05-30"/>
    <x v="1"/>
    <n v="4"/>
    <n v="35139"/>
    <x v="2"/>
    <x v="0"/>
    <n v="11.67"/>
    <x v="5"/>
    <x v="7"/>
    <n v="2015"/>
    <x v="7"/>
  </r>
  <r>
    <s v="EMP0404"/>
    <s v="Aditya Singh"/>
    <n v="53"/>
    <s v="46–55"/>
    <x v="0"/>
    <x v="6"/>
    <x v="1"/>
    <x v="51"/>
    <s v=" NA"/>
    <x v="0"/>
    <n v="4"/>
    <n v="18149"/>
    <x v="4"/>
    <x v="3"/>
    <n v="2"/>
    <x v="2"/>
    <x v="1"/>
    <n v="2024"/>
    <x v="0"/>
  </r>
  <r>
    <s v="EMP0405"/>
    <s v="Ishita Jain"/>
    <n v="37"/>
    <s v="36–45"/>
    <x v="1"/>
    <x v="4"/>
    <x v="0"/>
    <x v="126"/>
    <s v=" NA"/>
    <x v="0"/>
    <n v="4"/>
    <n v="34374"/>
    <x v="2"/>
    <x v="0"/>
    <n v="10.92"/>
    <x v="0"/>
    <x v="2"/>
    <n v="2015"/>
    <x v="0"/>
  </r>
  <r>
    <s v="EMP0406"/>
    <s v="Neha Singh"/>
    <n v="23"/>
    <s v="18–25"/>
    <x v="0"/>
    <x v="1"/>
    <x v="4"/>
    <x v="95"/>
    <s v=" NA"/>
    <x v="0"/>
    <n v="3"/>
    <n v="37157"/>
    <x v="2"/>
    <x v="4"/>
    <n v="5.58"/>
    <x v="1"/>
    <x v="7"/>
    <n v="2021"/>
    <x v="0"/>
  </r>
  <r>
    <s v="EMP0407"/>
    <s v="Divya Verma"/>
    <n v="26"/>
    <s v="26–35"/>
    <x v="0"/>
    <x v="1"/>
    <x v="2"/>
    <x v="24"/>
    <s v=" NA"/>
    <x v="0"/>
    <n v="2"/>
    <n v="33413"/>
    <x v="2"/>
    <x v="2"/>
    <n v="3.75"/>
    <x v="5"/>
    <x v="7"/>
    <n v="2023"/>
    <x v="0"/>
  </r>
  <r>
    <s v="EMP0408"/>
    <s v="Ananya Bose"/>
    <n v="34"/>
    <s v="26–35"/>
    <x v="0"/>
    <x v="3"/>
    <x v="3"/>
    <x v="74"/>
    <s v=" NA"/>
    <x v="0"/>
    <n v="4"/>
    <n v="23478"/>
    <x v="4"/>
    <x v="3"/>
    <n v="2.33"/>
    <x v="3"/>
    <x v="0"/>
    <n v="2024"/>
    <x v="0"/>
  </r>
  <r>
    <s v="EMP0409"/>
    <s v="Aditya Jain"/>
    <n v="54"/>
    <s v="46–55"/>
    <x v="0"/>
    <x v="0"/>
    <x v="4"/>
    <x v="155"/>
    <s v=" NA"/>
    <x v="0"/>
    <n v="4"/>
    <n v="68053"/>
    <x v="1"/>
    <x v="2"/>
    <n v="4.5"/>
    <x v="5"/>
    <x v="6"/>
    <n v="2022"/>
    <x v="0"/>
  </r>
  <r>
    <s v="EMP0410"/>
    <s v="Sana Shah"/>
    <n v="38"/>
    <s v="36–45"/>
    <x v="1"/>
    <x v="6"/>
    <x v="2"/>
    <x v="207"/>
    <s v=" NA"/>
    <x v="0"/>
    <n v="3"/>
    <n v="82829"/>
    <x v="3"/>
    <x v="4"/>
    <n v="8.42"/>
    <x v="1"/>
    <x v="7"/>
    <n v="2018"/>
    <x v="0"/>
  </r>
  <r>
    <s v="EMP0411"/>
    <s v="Meera Shah"/>
    <n v="53"/>
    <s v="46–55"/>
    <x v="0"/>
    <x v="1"/>
    <x v="0"/>
    <x v="43"/>
    <s v=" NA"/>
    <x v="0"/>
    <n v="4"/>
    <n v="129365"/>
    <x v="0"/>
    <x v="3"/>
    <n v="2.67"/>
    <x v="0"/>
    <x v="0"/>
    <n v="2024"/>
    <x v="0"/>
  </r>
  <r>
    <s v="EMP0412"/>
    <s v="Ananya Singh"/>
    <n v="41"/>
    <s v="36–45"/>
    <x v="0"/>
    <x v="7"/>
    <x v="3"/>
    <x v="208"/>
    <s v="2021-12-13"/>
    <x v="1"/>
    <n v="4"/>
    <n v="54484"/>
    <x v="1"/>
    <x v="4"/>
    <n v="6.5"/>
    <x v="0"/>
    <x v="4"/>
    <n v="2020"/>
    <x v="6"/>
  </r>
  <r>
    <s v="EMP0413"/>
    <s v="Manoj Kumar"/>
    <n v="34"/>
    <s v="26–35"/>
    <x v="1"/>
    <x v="5"/>
    <x v="0"/>
    <x v="209"/>
    <s v="2026-02-17"/>
    <x v="1"/>
    <n v="5"/>
    <n v="79111"/>
    <x v="3"/>
    <x v="1"/>
    <n v="0.67"/>
    <x v="2"/>
    <x v="0"/>
    <n v="2026"/>
    <x v="1"/>
  </r>
  <r>
    <s v="EMP0414"/>
    <s v="Rahul Shah"/>
    <n v="53"/>
    <s v="46–55"/>
    <x v="1"/>
    <x v="1"/>
    <x v="4"/>
    <x v="207"/>
    <s v=" NA"/>
    <x v="0"/>
    <n v="2"/>
    <n v="89404"/>
    <x v="3"/>
    <x v="4"/>
    <n v="8.42"/>
    <x v="3"/>
    <x v="4"/>
    <n v="2018"/>
    <x v="0"/>
  </r>
  <r>
    <s v="EMP0415"/>
    <s v="Neha Shah"/>
    <n v="31"/>
    <s v="26–35"/>
    <x v="0"/>
    <x v="0"/>
    <x v="1"/>
    <x v="198"/>
    <s v=" NA"/>
    <x v="0"/>
    <n v="4"/>
    <n v="31464"/>
    <x v="2"/>
    <x v="4"/>
    <n v="9.5"/>
    <x v="2"/>
    <x v="0"/>
    <n v="2017"/>
    <x v="0"/>
  </r>
  <r>
    <s v="EMP0416"/>
    <s v="Ishita Shah"/>
    <n v="42"/>
    <s v="36–45"/>
    <x v="1"/>
    <x v="1"/>
    <x v="1"/>
    <x v="41"/>
    <s v=" NA"/>
    <x v="0"/>
    <n v="4"/>
    <n v="34237"/>
    <x v="2"/>
    <x v="2"/>
    <n v="3.42"/>
    <x v="2"/>
    <x v="3"/>
    <n v="2023"/>
    <x v="0"/>
  </r>
  <r>
    <s v="EMP0417"/>
    <s v="Naveen Iyer"/>
    <n v="25"/>
    <s v="18–25"/>
    <x v="0"/>
    <x v="1"/>
    <x v="1"/>
    <x v="210"/>
    <s v="2016-09-05"/>
    <x v="1"/>
    <n v="3"/>
    <n v="74541"/>
    <x v="1"/>
    <x v="4"/>
    <n v="10"/>
    <x v="2"/>
    <x v="2"/>
    <n v="2016"/>
    <x v="8"/>
  </r>
  <r>
    <s v="EMP0418"/>
    <s v="Aarav Kannan"/>
    <n v="22"/>
    <s v="18–25"/>
    <x v="0"/>
    <x v="1"/>
    <x v="0"/>
    <x v="211"/>
    <s v="2025-11-15"/>
    <x v="1"/>
    <n v="4"/>
    <n v="75730"/>
    <x v="3"/>
    <x v="1"/>
    <n v="0.92"/>
    <x v="1"/>
    <x v="6"/>
    <n v="2025"/>
    <x v="5"/>
  </r>
  <r>
    <s v="EMP0419"/>
    <s v="Naveen Kumar"/>
    <n v="25"/>
    <s v="18–25"/>
    <x v="0"/>
    <x v="1"/>
    <x v="4"/>
    <x v="39"/>
    <s v=" NA"/>
    <x v="0"/>
    <n v="4"/>
    <n v="91404"/>
    <x v="3"/>
    <x v="1"/>
    <n v="0.33"/>
    <x v="0"/>
    <x v="3"/>
    <n v="2026"/>
    <x v="0"/>
  </r>
  <r>
    <s v="EMP0420"/>
    <s v="Sanjay Das"/>
    <n v="42"/>
    <s v="36–45"/>
    <x v="0"/>
    <x v="0"/>
    <x v="0"/>
    <x v="28"/>
    <s v=" NA"/>
    <x v="0"/>
    <n v="2"/>
    <n v="54729"/>
    <x v="1"/>
    <x v="2"/>
    <n v="3.83"/>
    <x v="2"/>
    <x v="2"/>
    <n v="2022"/>
    <x v="0"/>
  </r>
  <r>
    <s v="EMP0421"/>
    <s v="Divya Das"/>
    <n v="52"/>
    <s v="46–55"/>
    <x v="0"/>
    <x v="5"/>
    <x v="1"/>
    <x v="212"/>
    <s v="2019-12-02"/>
    <x v="1"/>
    <n v="4"/>
    <n v="45179"/>
    <x v="2"/>
    <x v="4"/>
    <n v="6.75"/>
    <x v="5"/>
    <x v="0"/>
    <n v="2019"/>
    <x v="10"/>
  </r>
  <r>
    <s v="EMP0422"/>
    <s v="Naveen Singh"/>
    <n v="26"/>
    <s v="26–35"/>
    <x v="0"/>
    <x v="0"/>
    <x v="4"/>
    <x v="48"/>
    <s v=" NA"/>
    <x v="0"/>
    <n v="3"/>
    <n v="36683"/>
    <x v="2"/>
    <x v="1"/>
    <n v="0.5"/>
    <x v="0"/>
    <x v="4"/>
    <n v="2026"/>
    <x v="0"/>
  </r>
  <r>
    <s v="EMP0423"/>
    <s v="Keerthi Nair"/>
    <n v="34"/>
    <s v="26–35"/>
    <x v="1"/>
    <x v="1"/>
    <x v="1"/>
    <x v="213"/>
    <s v="2018-01-05"/>
    <x v="1"/>
    <n v="2"/>
    <n v="27139"/>
    <x v="4"/>
    <x v="0"/>
    <n v="13.67"/>
    <x v="1"/>
    <x v="3"/>
    <n v="2013"/>
    <x v="11"/>
  </r>
  <r>
    <s v="EMP0424"/>
    <s v="Aisha Singh"/>
    <n v="44"/>
    <s v="36–45"/>
    <x v="1"/>
    <x v="5"/>
    <x v="1"/>
    <x v="214"/>
    <s v="2026-08-05"/>
    <x v="1"/>
    <n v="3"/>
    <n v="72805"/>
    <x v="1"/>
    <x v="1"/>
    <n v="0.42"/>
    <x v="1"/>
    <x v="6"/>
    <n v="2026"/>
    <x v="1"/>
  </r>
  <r>
    <s v="EMP0425"/>
    <s v="Rahul Kannan"/>
    <n v="38"/>
    <s v="36–45"/>
    <x v="1"/>
    <x v="5"/>
    <x v="1"/>
    <x v="53"/>
    <s v=" NA"/>
    <x v="0"/>
    <n v="1"/>
    <n v="18749"/>
    <x v="4"/>
    <x v="3"/>
    <n v="2.42"/>
    <x v="0"/>
    <x v="3"/>
    <n v="2024"/>
    <x v="0"/>
  </r>
  <r>
    <s v="EMP0426"/>
    <s v="Aarav Gupta"/>
    <n v="25"/>
    <s v="18–25"/>
    <x v="0"/>
    <x v="0"/>
    <x v="3"/>
    <x v="172"/>
    <s v=" NA"/>
    <x v="0"/>
    <n v="3"/>
    <n v="92066"/>
    <x v="3"/>
    <x v="3"/>
    <n v="3"/>
    <x v="3"/>
    <x v="0"/>
    <n v="2023"/>
    <x v="0"/>
  </r>
  <r>
    <s v="EMP0427"/>
    <s v="Keerthi Reddy"/>
    <n v="39"/>
    <s v="36–45"/>
    <x v="0"/>
    <x v="3"/>
    <x v="0"/>
    <x v="215"/>
    <s v="2026-10-11"/>
    <x v="1"/>
    <n v="3"/>
    <n v="88345"/>
    <x v="3"/>
    <x v="1"/>
    <n v="0.25"/>
    <x v="5"/>
    <x v="5"/>
    <n v="2026"/>
    <x v="1"/>
  </r>
  <r>
    <s v="EMP0428"/>
    <s v="Neha Kannan"/>
    <n v="34"/>
    <s v="26–35"/>
    <x v="1"/>
    <x v="0"/>
    <x v="0"/>
    <x v="66"/>
    <s v=" NA"/>
    <x v="0"/>
    <n v="3"/>
    <n v="44278"/>
    <x v="2"/>
    <x v="1"/>
    <n v="0.57999999999999996"/>
    <x v="1"/>
    <x v="3"/>
    <n v="2026"/>
    <x v="0"/>
  </r>
  <r>
    <s v="EMP0429"/>
    <s v="Meera Reddy"/>
    <n v="51"/>
    <s v="46–55"/>
    <x v="1"/>
    <x v="4"/>
    <x v="3"/>
    <x v="216"/>
    <s v=" NA"/>
    <x v="0"/>
    <n v="4"/>
    <n v="44914"/>
    <x v="2"/>
    <x v="0"/>
    <n v="14.75"/>
    <x v="0"/>
    <x v="0"/>
    <n v="2012"/>
    <x v="0"/>
  </r>
  <r>
    <s v="EMP0430"/>
    <s v="Nisha Bose"/>
    <n v="44"/>
    <s v="36–45"/>
    <x v="1"/>
    <x v="0"/>
    <x v="3"/>
    <x v="217"/>
    <s v=" NA"/>
    <x v="0"/>
    <n v="4"/>
    <n v="42907"/>
    <x v="2"/>
    <x v="0"/>
    <n v="13.67"/>
    <x v="3"/>
    <x v="1"/>
    <n v="2013"/>
    <x v="0"/>
  </r>
  <r>
    <s v="EMP0431"/>
    <s v="Aditya Gupta"/>
    <n v="52"/>
    <s v="46–55"/>
    <x v="1"/>
    <x v="1"/>
    <x v="0"/>
    <x v="6"/>
    <s v=" NA"/>
    <x v="0"/>
    <n v="3"/>
    <n v="23791"/>
    <x v="4"/>
    <x v="1"/>
    <n v="0.92"/>
    <x v="2"/>
    <x v="7"/>
    <n v="2025"/>
    <x v="0"/>
  </r>
  <r>
    <s v="EMP0432"/>
    <s v="Suresh Jain"/>
    <n v="36"/>
    <s v="36–45"/>
    <x v="1"/>
    <x v="7"/>
    <x v="1"/>
    <x v="39"/>
    <s v=" NA"/>
    <x v="0"/>
    <n v="3"/>
    <n v="29473"/>
    <x v="4"/>
    <x v="1"/>
    <n v="0.33"/>
    <x v="3"/>
    <x v="1"/>
    <n v="2026"/>
    <x v="0"/>
  </r>
  <r>
    <s v="EMP0433"/>
    <s v="Divya Nair"/>
    <n v="22"/>
    <s v="18–25"/>
    <x v="1"/>
    <x v="2"/>
    <x v="0"/>
    <x v="181"/>
    <s v=" NA"/>
    <x v="0"/>
    <n v="4"/>
    <n v="26735"/>
    <x v="4"/>
    <x v="4"/>
    <n v="5.25"/>
    <x v="3"/>
    <x v="0"/>
    <n v="2021"/>
    <x v="0"/>
  </r>
  <r>
    <s v="EMP0434"/>
    <s v="Rohan Verma"/>
    <n v="29"/>
    <s v="26–35"/>
    <x v="1"/>
    <x v="7"/>
    <x v="3"/>
    <x v="21"/>
    <s v=" NA"/>
    <x v="0"/>
    <n v="4"/>
    <n v="22238"/>
    <x v="4"/>
    <x v="0"/>
    <n v="12.25"/>
    <x v="0"/>
    <x v="5"/>
    <n v="2014"/>
    <x v="0"/>
  </r>
  <r>
    <s v="EMP0435"/>
    <s v="Sanjay Krishnan"/>
    <n v="33"/>
    <s v="26–35"/>
    <x v="1"/>
    <x v="2"/>
    <x v="0"/>
    <x v="42"/>
    <s v=" NA"/>
    <x v="0"/>
    <n v="2"/>
    <n v="27271"/>
    <x v="4"/>
    <x v="1"/>
    <n v="0.17"/>
    <x v="0"/>
    <x v="1"/>
    <n v="2026"/>
    <x v="0"/>
  </r>
  <r>
    <s v="EMP0436"/>
    <s v="Aisha Verma"/>
    <n v="44"/>
    <s v="36–45"/>
    <x v="0"/>
    <x v="0"/>
    <x v="0"/>
    <x v="44"/>
    <s v=" NA"/>
    <x v="0"/>
    <n v="4"/>
    <n v="20184"/>
    <x v="4"/>
    <x v="3"/>
    <n v="2.58"/>
    <x v="0"/>
    <x v="7"/>
    <n v="2024"/>
    <x v="0"/>
  </r>
  <r>
    <s v="EMP0437"/>
    <s v="Priya Bose"/>
    <n v="45"/>
    <s v="36–45"/>
    <x v="1"/>
    <x v="6"/>
    <x v="0"/>
    <x v="28"/>
    <s v=" NA"/>
    <x v="0"/>
    <n v="4"/>
    <n v="30381"/>
    <x v="2"/>
    <x v="2"/>
    <n v="3.83"/>
    <x v="0"/>
    <x v="0"/>
    <n v="2022"/>
    <x v="0"/>
  </r>
  <r>
    <s v="EMP0438"/>
    <s v="Kiran Rao"/>
    <n v="54"/>
    <s v="46–55"/>
    <x v="0"/>
    <x v="1"/>
    <x v="0"/>
    <x v="218"/>
    <s v="2022-05-07"/>
    <x v="1"/>
    <n v="3"/>
    <n v="50190"/>
    <x v="1"/>
    <x v="2"/>
    <n v="4.42"/>
    <x v="1"/>
    <x v="6"/>
    <n v="2022"/>
    <x v="3"/>
  </r>
  <r>
    <s v="EMP0439"/>
    <s v="Nisha Nair"/>
    <n v="40"/>
    <s v="36–45"/>
    <x v="1"/>
    <x v="2"/>
    <x v="3"/>
    <x v="140"/>
    <s v=" NA"/>
    <x v="0"/>
    <n v="4"/>
    <n v="27598"/>
    <x v="4"/>
    <x v="4"/>
    <n v="8.25"/>
    <x v="0"/>
    <x v="6"/>
    <n v="2018"/>
    <x v="0"/>
  </r>
  <r>
    <s v="EMP0440"/>
    <s v="Divya Jain"/>
    <n v="25"/>
    <s v="18–25"/>
    <x v="0"/>
    <x v="2"/>
    <x v="0"/>
    <x v="31"/>
    <s v=" NA"/>
    <x v="0"/>
    <n v="4"/>
    <n v="18900"/>
    <x v="4"/>
    <x v="1"/>
    <n v="0.67"/>
    <x v="3"/>
    <x v="3"/>
    <n v="2026"/>
    <x v="0"/>
  </r>
  <r>
    <s v="EMP0441"/>
    <s v="Rahul Das"/>
    <n v="35"/>
    <s v="26–35"/>
    <x v="1"/>
    <x v="2"/>
    <x v="0"/>
    <x v="219"/>
    <s v=" NA"/>
    <x v="0"/>
    <n v="2"/>
    <n v="39617"/>
    <x v="2"/>
    <x v="0"/>
    <n v="10.08"/>
    <x v="2"/>
    <x v="4"/>
    <n v="2016"/>
    <x v="0"/>
  </r>
  <r>
    <s v="EMP0442"/>
    <s v="Vikram Patel"/>
    <n v="52"/>
    <s v="46–55"/>
    <x v="0"/>
    <x v="3"/>
    <x v="0"/>
    <x v="11"/>
    <s v=" NA"/>
    <x v="0"/>
    <n v="4"/>
    <n v="69316"/>
    <x v="1"/>
    <x v="1"/>
    <n v="0.42"/>
    <x v="4"/>
    <x v="1"/>
    <n v="2026"/>
    <x v="0"/>
  </r>
  <r>
    <s v="EMP0443"/>
    <s v="Kiran Krishnan"/>
    <n v="29"/>
    <s v="26–35"/>
    <x v="1"/>
    <x v="2"/>
    <x v="0"/>
    <x v="220"/>
    <s v="2026-10-08"/>
    <x v="1"/>
    <n v="1"/>
    <n v="64869"/>
    <x v="1"/>
    <x v="1"/>
    <n v="0.08"/>
    <x v="0"/>
    <x v="7"/>
    <n v="2026"/>
    <x v="1"/>
  </r>
  <r>
    <s v="EMP0444"/>
    <s v="Aisha Jain"/>
    <n v="41"/>
    <s v="36–45"/>
    <x v="0"/>
    <x v="1"/>
    <x v="1"/>
    <x v="12"/>
    <s v=" NA"/>
    <x v="0"/>
    <n v="5"/>
    <n v="60411"/>
    <x v="1"/>
    <x v="1"/>
    <n v="0.08"/>
    <x v="3"/>
    <x v="6"/>
    <n v="2026"/>
    <x v="0"/>
  </r>
  <r>
    <s v="EMP0445"/>
    <s v="Ananya Nair"/>
    <n v="34"/>
    <s v="26–35"/>
    <x v="0"/>
    <x v="2"/>
    <x v="1"/>
    <x v="62"/>
    <s v=" NA"/>
    <x v="0"/>
    <n v="5"/>
    <n v="73268"/>
    <x v="1"/>
    <x v="4"/>
    <n v="8.33"/>
    <x v="4"/>
    <x v="4"/>
    <n v="2018"/>
    <x v="0"/>
  </r>
  <r>
    <s v="EMP0446"/>
    <s v="Anil Singh"/>
    <n v="54"/>
    <s v="46–55"/>
    <x v="1"/>
    <x v="6"/>
    <x v="0"/>
    <x v="221"/>
    <s v=" NA"/>
    <x v="0"/>
    <n v="2"/>
    <n v="77091"/>
    <x v="3"/>
    <x v="4"/>
    <n v="5.08"/>
    <x v="3"/>
    <x v="0"/>
    <n v="2021"/>
    <x v="0"/>
  </r>
  <r>
    <s v="EMP0447"/>
    <s v="Aarav Joshi"/>
    <n v="27"/>
    <s v="26–35"/>
    <x v="0"/>
    <x v="5"/>
    <x v="0"/>
    <x v="222"/>
    <s v=" NA"/>
    <x v="0"/>
    <n v="3"/>
    <n v="34494"/>
    <x v="2"/>
    <x v="0"/>
    <n v="11.5"/>
    <x v="3"/>
    <x v="2"/>
    <n v="2015"/>
    <x v="0"/>
  </r>
  <r>
    <s v="EMP0448"/>
    <s v="Aditya Krishnan"/>
    <n v="56"/>
    <s v="56+"/>
    <x v="1"/>
    <x v="1"/>
    <x v="1"/>
    <x v="165"/>
    <s v=" NA"/>
    <x v="0"/>
    <n v="2"/>
    <n v="29390"/>
    <x v="4"/>
    <x v="4"/>
    <n v="8.58"/>
    <x v="2"/>
    <x v="1"/>
    <n v="2018"/>
    <x v="0"/>
  </r>
  <r>
    <s v="EMP0449"/>
    <s v="Divya Rao"/>
    <n v="39"/>
    <s v="36–45"/>
    <x v="1"/>
    <x v="2"/>
    <x v="1"/>
    <x v="223"/>
    <s v="2024-04-03"/>
    <x v="1"/>
    <n v="3"/>
    <n v="52891"/>
    <x v="1"/>
    <x v="3"/>
    <n v="2.5"/>
    <x v="3"/>
    <x v="0"/>
    <n v="2024"/>
    <x v="2"/>
  </r>
  <r>
    <s v="EMP0450"/>
    <s v="Kiran Jain"/>
    <n v="23"/>
    <s v="18–25"/>
    <x v="1"/>
    <x v="5"/>
    <x v="0"/>
    <x v="96"/>
    <s v=" NA"/>
    <x v="0"/>
    <n v="3"/>
    <n v="40160"/>
    <x v="2"/>
    <x v="0"/>
    <n v="14.42"/>
    <x v="1"/>
    <x v="4"/>
    <n v="2012"/>
    <x v="0"/>
  </r>
  <r>
    <s v="EMP0451"/>
    <s v="Rohan Patel"/>
    <n v="24"/>
    <s v="18–25"/>
    <x v="0"/>
    <x v="1"/>
    <x v="0"/>
    <x v="23"/>
    <s v=" NA"/>
    <x v="0"/>
    <n v="1"/>
    <n v="38750"/>
    <x v="2"/>
    <x v="0"/>
    <n v="14.67"/>
    <x v="1"/>
    <x v="2"/>
    <n v="2012"/>
    <x v="0"/>
  </r>
  <r>
    <s v="EMP0452"/>
    <s v="Rohan Verma"/>
    <n v="27"/>
    <s v="26–35"/>
    <x v="1"/>
    <x v="0"/>
    <x v="1"/>
    <x v="53"/>
    <s v=" NA"/>
    <x v="0"/>
    <n v="3"/>
    <n v="26110"/>
    <x v="4"/>
    <x v="3"/>
    <n v="2.42"/>
    <x v="2"/>
    <x v="0"/>
    <n v="2024"/>
    <x v="0"/>
  </r>
  <r>
    <s v="EMP0453"/>
    <s v="Sana Nair"/>
    <n v="31"/>
    <s v="26–35"/>
    <x v="0"/>
    <x v="5"/>
    <x v="0"/>
    <x v="56"/>
    <s v=" NA"/>
    <x v="0"/>
    <n v="3"/>
    <n v="46368"/>
    <x v="2"/>
    <x v="2"/>
    <n v="4.42"/>
    <x v="0"/>
    <x v="7"/>
    <n v="2022"/>
    <x v="0"/>
  </r>
  <r>
    <s v="EMP0454"/>
    <s v="Rahul Reddy"/>
    <n v="62"/>
    <s v="56+"/>
    <x v="0"/>
    <x v="2"/>
    <x v="0"/>
    <x v="74"/>
    <s v=" NA"/>
    <x v="0"/>
    <n v="5"/>
    <n v="53246"/>
    <x v="1"/>
    <x v="3"/>
    <n v="2.33"/>
    <x v="0"/>
    <x v="7"/>
    <n v="2024"/>
    <x v="0"/>
  </r>
  <r>
    <s v="EMP0455"/>
    <s v="Naveen Jain"/>
    <n v="29"/>
    <s v="26–35"/>
    <x v="0"/>
    <x v="7"/>
    <x v="0"/>
    <x v="28"/>
    <s v=" NA"/>
    <x v="0"/>
    <n v="2"/>
    <n v="22002"/>
    <x v="4"/>
    <x v="2"/>
    <n v="3.83"/>
    <x v="3"/>
    <x v="3"/>
    <n v="2022"/>
    <x v="0"/>
  </r>
  <r>
    <s v="EMP0456"/>
    <s v="Kiran Patel"/>
    <n v="34"/>
    <s v="26–35"/>
    <x v="1"/>
    <x v="1"/>
    <x v="1"/>
    <x v="224"/>
    <s v="2017-11-07"/>
    <x v="1"/>
    <n v="2"/>
    <n v="93914"/>
    <x v="3"/>
    <x v="0"/>
    <n v="10.58"/>
    <x v="3"/>
    <x v="5"/>
    <n v="2016"/>
    <x v="7"/>
  </r>
  <r>
    <s v="EMP0457"/>
    <s v="Suresh Kannan"/>
    <n v="26"/>
    <s v="26–35"/>
    <x v="1"/>
    <x v="2"/>
    <x v="2"/>
    <x v="225"/>
    <s v=" NA"/>
    <x v="0"/>
    <n v="3"/>
    <n v="78976"/>
    <x v="3"/>
    <x v="4"/>
    <n v="8.75"/>
    <x v="0"/>
    <x v="1"/>
    <n v="2018"/>
    <x v="0"/>
  </r>
  <r>
    <s v="EMP0458"/>
    <s v="Neha Verma"/>
    <n v="30"/>
    <s v="26–35"/>
    <x v="0"/>
    <x v="0"/>
    <x v="0"/>
    <x v="24"/>
    <s v=" NA"/>
    <x v="0"/>
    <n v="4"/>
    <n v="55387"/>
    <x v="1"/>
    <x v="2"/>
    <n v="3.75"/>
    <x v="1"/>
    <x v="7"/>
    <n v="2023"/>
    <x v="0"/>
  </r>
  <r>
    <s v="EMP0459"/>
    <s v="Ananya Verma"/>
    <n v="24"/>
    <s v="18–25"/>
    <x v="0"/>
    <x v="7"/>
    <x v="1"/>
    <x v="217"/>
    <s v=" NA"/>
    <x v="0"/>
    <n v="5"/>
    <n v="24675"/>
    <x v="4"/>
    <x v="0"/>
    <n v="13.67"/>
    <x v="1"/>
    <x v="3"/>
    <n v="2013"/>
    <x v="0"/>
  </r>
  <r>
    <s v="EMP0460"/>
    <s v="Ananya Nair"/>
    <n v="32"/>
    <s v="26–35"/>
    <x v="1"/>
    <x v="3"/>
    <x v="0"/>
    <x v="226"/>
    <s v="2026-05-24"/>
    <x v="1"/>
    <n v="3"/>
    <n v="167423"/>
    <x v="0"/>
    <x v="1"/>
    <n v="0.33"/>
    <x v="3"/>
    <x v="5"/>
    <n v="2026"/>
    <x v="1"/>
  </r>
  <r>
    <s v="EMP0461"/>
    <s v="Sana Kumar"/>
    <n v="36"/>
    <s v="36–45"/>
    <x v="0"/>
    <x v="7"/>
    <x v="0"/>
    <x v="33"/>
    <s v=" NA"/>
    <x v="0"/>
    <n v="4"/>
    <n v="52084"/>
    <x v="1"/>
    <x v="2"/>
    <n v="4.33"/>
    <x v="1"/>
    <x v="5"/>
    <n v="2022"/>
    <x v="0"/>
  </r>
  <r>
    <s v="EMP0462"/>
    <s v="Divya Das"/>
    <n v="31"/>
    <s v="26–35"/>
    <x v="0"/>
    <x v="3"/>
    <x v="3"/>
    <x v="7"/>
    <s v=" NA"/>
    <x v="0"/>
    <n v="2"/>
    <n v="71450"/>
    <x v="1"/>
    <x v="1"/>
    <n v="0.25"/>
    <x v="0"/>
    <x v="0"/>
    <n v="2026"/>
    <x v="0"/>
  </r>
  <r>
    <s v="EMP0463"/>
    <s v="Vikram Reddy"/>
    <n v="56"/>
    <s v="56+"/>
    <x v="0"/>
    <x v="3"/>
    <x v="1"/>
    <x v="66"/>
    <s v=" NA"/>
    <x v="0"/>
    <n v="3"/>
    <n v="134560"/>
    <x v="0"/>
    <x v="1"/>
    <n v="0.57999999999999996"/>
    <x v="3"/>
    <x v="2"/>
    <n v="2026"/>
    <x v="0"/>
  </r>
  <r>
    <s v="EMP0464"/>
    <s v="Vikram Menon"/>
    <n v="34"/>
    <s v="26–35"/>
    <x v="0"/>
    <x v="0"/>
    <x v="1"/>
    <x v="102"/>
    <s v=" NA"/>
    <x v="0"/>
    <n v="4"/>
    <n v="64224"/>
    <x v="1"/>
    <x v="1"/>
    <n v="1"/>
    <x v="1"/>
    <x v="5"/>
    <n v="2025"/>
    <x v="0"/>
  </r>
  <r>
    <s v="EMP0465"/>
    <s v="Priya Krishnan"/>
    <n v="31"/>
    <s v="26–35"/>
    <x v="0"/>
    <x v="6"/>
    <x v="1"/>
    <x v="201"/>
    <s v="2026-07-11"/>
    <x v="1"/>
    <n v="4"/>
    <n v="69517"/>
    <x v="1"/>
    <x v="1"/>
    <n v="0.33"/>
    <x v="0"/>
    <x v="1"/>
    <n v="2026"/>
    <x v="1"/>
  </r>
  <r>
    <s v="EMP0466"/>
    <s v="Suresh Singh"/>
    <n v="21"/>
    <s v="18–25"/>
    <x v="1"/>
    <x v="2"/>
    <x v="1"/>
    <x v="155"/>
    <s v=" NA"/>
    <x v="0"/>
    <n v="3"/>
    <n v="27052"/>
    <x v="4"/>
    <x v="2"/>
    <n v="4.5"/>
    <x v="1"/>
    <x v="2"/>
    <n v="2022"/>
    <x v="0"/>
  </r>
  <r>
    <s v="EMP0467"/>
    <s v="Aditya Iyer"/>
    <n v="32"/>
    <s v="26–35"/>
    <x v="1"/>
    <x v="2"/>
    <x v="1"/>
    <x v="227"/>
    <s v=" NA"/>
    <x v="0"/>
    <n v="4"/>
    <n v="34395"/>
    <x v="2"/>
    <x v="4"/>
    <n v="7.33"/>
    <x v="4"/>
    <x v="6"/>
    <n v="2019"/>
    <x v="0"/>
  </r>
  <r>
    <s v="EMP0468"/>
    <s v="Lakshmi Sharma"/>
    <n v="57"/>
    <s v="56+"/>
    <x v="1"/>
    <x v="2"/>
    <x v="0"/>
    <x v="155"/>
    <s v=" NA"/>
    <x v="0"/>
    <n v="3"/>
    <n v="64061"/>
    <x v="1"/>
    <x v="2"/>
    <n v="4.5"/>
    <x v="1"/>
    <x v="5"/>
    <n v="2022"/>
    <x v="0"/>
  </r>
  <r>
    <s v="EMP0469"/>
    <s v="Aarav Menon"/>
    <n v="48"/>
    <s v="46–55"/>
    <x v="0"/>
    <x v="1"/>
    <x v="0"/>
    <x v="64"/>
    <s v=" NA"/>
    <x v="0"/>
    <n v="4"/>
    <n v="98925"/>
    <x v="3"/>
    <x v="2"/>
    <n v="3.67"/>
    <x v="2"/>
    <x v="3"/>
    <n v="2023"/>
    <x v="0"/>
  </r>
  <r>
    <s v="EMP0470"/>
    <s v="Aisha  Reddy"/>
    <n v="42"/>
    <s v="36–45"/>
    <x v="0"/>
    <x v="4"/>
    <x v="2"/>
    <x v="16"/>
    <s v=" NA"/>
    <x v="0"/>
    <n v="3"/>
    <n v="44453"/>
    <x v="2"/>
    <x v="0"/>
    <n v="13.08"/>
    <x v="1"/>
    <x v="1"/>
    <n v="2013"/>
    <x v="0"/>
  </r>
  <r>
    <s v="EMP0471"/>
    <s v="Keerthi Iyer"/>
    <n v="44"/>
    <s v="36–45"/>
    <x v="0"/>
    <x v="1"/>
    <x v="0"/>
    <x v="12"/>
    <s v=" NA"/>
    <x v="0"/>
    <n v="3"/>
    <n v="49426"/>
    <x v="2"/>
    <x v="1"/>
    <n v="0.08"/>
    <x v="0"/>
    <x v="3"/>
    <n v="2026"/>
    <x v="0"/>
  </r>
  <r>
    <s v="EMP0472"/>
    <s v="Sanjay Verma"/>
    <n v="57"/>
    <s v="56+"/>
    <x v="0"/>
    <x v="6"/>
    <x v="1"/>
    <x v="228"/>
    <s v="2024-12-04"/>
    <x v="1"/>
    <n v="1"/>
    <n v="95470"/>
    <x v="3"/>
    <x v="3"/>
    <n v="1.75"/>
    <x v="3"/>
    <x v="7"/>
    <n v="2024"/>
    <x v="2"/>
  </r>
  <r>
    <s v="EMP0473"/>
    <s v="Aisha Nair"/>
    <n v="45"/>
    <s v="36–45"/>
    <x v="1"/>
    <x v="6"/>
    <x v="0"/>
    <x v="56"/>
    <s v=" NA"/>
    <x v="0"/>
    <n v="4"/>
    <n v="22603"/>
    <x v="4"/>
    <x v="2"/>
    <n v="4.42"/>
    <x v="0"/>
    <x v="2"/>
    <n v="2022"/>
    <x v="0"/>
  </r>
  <r>
    <s v="EMP0474"/>
    <s v="Ananya Iyer"/>
    <n v="30"/>
    <s v="26–35"/>
    <x v="0"/>
    <x v="6"/>
    <x v="0"/>
    <x v="47"/>
    <s v=" NA"/>
    <x v="0"/>
    <n v="3"/>
    <n v="157201"/>
    <x v="0"/>
    <x v="2"/>
    <n v="3.92"/>
    <x v="4"/>
    <x v="3"/>
    <n v="2022"/>
    <x v="0"/>
  </r>
  <r>
    <s v="EMP0475"/>
    <s v="Arjun Krishnan"/>
    <n v="29"/>
    <s v="26–35"/>
    <x v="1"/>
    <x v="3"/>
    <x v="2"/>
    <x v="74"/>
    <s v=" NA"/>
    <x v="0"/>
    <n v="2"/>
    <n v="50051"/>
    <x v="1"/>
    <x v="3"/>
    <n v="2.33"/>
    <x v="1"/>
    <x v="0"/>
    <n v="2024"/>
    <x v="0"/>
  </r>
  <r>
    <s v="EMP0476"/>
    <s v="Naveen Singh"/>
    <n v="33"/>
    <s v="26–35"/>
    <x v="0"/>
    <x v="1"/>
    <x v="0"/>
    <x v="41"/>
    <s v=" NA"/>
    <x v="0"/>
    <n v="3"/>
    <n v="93574"/>
    <x v="3"/>
    <x v="2"/>
    <n v="3.42"/>
    <x v="3"/>
    <x v="4"/>
    <n v="2023"/>
    <x v="0"/>
  </r>
  <r>
    <s v="EMP0477"/>
    <s v="Kiran Sharma"/>
    <n v="21"/>
    <s v="18–25"/>
    <x v="1"/>
    <x v="3"/>
    <x v="0"/>
    <x v="9"/>
    <s v=" NA"/>
    <x v="0"/>
    <n v="3"/>
    <n v="73724"/>
    <x v="1"/>
    <x v="2"/>
    <n v="4.92"/>
    <x v="2"/>
    <x v="3"/>
    <n v="2021"/>
    <x v="0"/>
  </r>
  <r>
    <s v="EMP0478"/>
    <s v="Nisha Patel"/>
    <n v="42"/>
    <s v="36–45"/>
    <x v="1"/>
    <x v="7"/>
    <x v="1"/>
    <x v="229"/>
    <s v="2025-09-22"/>
    <x v="1"/>
    <n v="4"/>
    <n v="19045"/>
    <x v="4"/>
    <x v="3"/>
    <n v="1.67"/>
    <x v="5"/>
    <x v="7"/>
    <n v="2025"/>
    <x v="5"/>
  </r>
  <r>
    <s v="EMP0479"/>
    <s v="Ananya Patel"/>
    <n v="29"/>
    <s v="26–35"/>
    <x v="0"/>
    <x v="3"/>
    <x v="3"/>
    <x v="59"/>
    <s v=" NA"/>
    <x v="0"/>
    <n v="4"/>
    <n v="56515"/>
    <x v="1"/>
    <x v="3"/>
    <n v="1.92"/>
    <x v="3"/>
    <x v="4"/>
    <n v="2024"/>
    <x v="0"/>
  </r>
  <r>
    <s v="EMP0480"/>
    <s v="Kavya Krishnan"/>
    <n v="27"/>
    <s v="26–35"/>
    <x v="0"/>
    <x v="3"/>
    <x v="0"/>
    <x v="178"/>
    <s v=" NA"/>
    <x v="0"/>
    <n v="2"/>
    <n v="42854"/>
    <x v="2"/>
    <x v="2"/>
    <n v="3.17"/>
    <x v="1"/>
    <x v="3"/>
    <n v="2023"/>
    <x v="0"/>
  </r>
  <r>
    <s v="EMP0481"/>
    <s v="Neha Patel"/>
    <n v="21"/>
    <s v="18–25"/>
    <x v="0"/>
    <x v="1"/>
    <x v="1"/>
    <x v="230"/>
    <s v="2023-03-27"/>
    <x v="1"/>
    <n v="4"/>
    <n v="18122"/>
    <x v="4"/>
    <x v="2"/>
    <n v="3.92"/>
    <x v="0"/>
    <x v="0"/>
    <n v="2022"/>
    <x v="4"/>
  </r>
  <r>
    <s v="EMP0482"/>
    <s v="Ananya Reddy"/>
    <n v="43"/>
    <s v="36–45"/>
    <x v="1"/>
    <x v="6"/>
    <x v="0"/>
    <x v="183"/>
    <s v=" NA"/>
    <x v="0"/>
    <n v="4"/>
    <n v="116462"/>
    <x v="0"/>
    <x v="3"/>
    <n v="1.25"/>
    <x v="0"/>
    <x v="4"/>
    <n v="2025"/>
    <x v="0"/>
  </r>
  <r>
    <s v="EMP0483"/>
    <s v="Vikram Sharma"/>
    <n v="53"/>
    <s v="46–55"/>
    <x v="1"/>
    <x v="2"/>
    <x v="1"/>
    <x v="42"/>
    <s v=" NA"/>
    <x v="0"/>
    <n v="4"/>
    <n v="69579"/>
    <x v="1"/>
    <x v="1"/>
    <n v="0.17"/>
    <x v="5"/>
    <x v="7"/>
    <n v="2026"/>
    <x v="0"/>
  </r>
  <r>
    <s v="EMP0484"/>
    <s v="Ananya Krishnan"/>
    <n v="51"/>
    <s v="46–55"/>
    <x v="1"/>
    <x v="0"/>
    <x v="0"/>
    <x v="231"/>
    <s v=" NA"/>
    <x v="0"/>
    <n v="4"/>
    <n v="85888"/>
    <x v="3"/>
    <x v="4"/>
    <n v="8.5"/>
    <x v="0"/>
    <x v="1"/>
    <n v="2018"/>
    <x v="0"/>
  </r>
  <r>
    <s v="EMP0485"/>
    <s v="Aisha Shah"/>
    <n v="38"/>
    <s v="36–45"/>
    <x v="0"/>
    <x v="6"/>
    <x v="0"/>
    <x v="232"/>
    <s v=" NA"/>
    <x v="0"/>
    <n v="1"/>
    <n v="64601"/>
    <x v="1"/>
    <x v="0"/>
    <n v="10.42"/>
    <x v="0"/>
    <x v="2"/>
    <n v="2016"/>
    <x v="0"/>
  </r>
  <r>
    <s v="EMP0486"/>
    <s v="Anil Bose"/>
    <n v="23"/>
    <s v="18–25"/>
    <x v="0"/>
    <x v="1"/>
    <x v="1"/>
    <x v="233"/>
    <s v="2026-09-15"/>
    <x v="1"/>
    <n v="2"/>
    <n v="47915"/>
    <x v="2"/>
    <x v="1"/>
    <n v="0.17"/>
    <x v="1"/>
    <x v="6"/>
    <n v="2026"/>
    <x v="1"/>
  </r>
  <r>
    <s v="EMP0487"/>
    <s v="Divya Reddy"/>
    <n v="42"/>
    <s v="36–45"/>
    <x v="0"/>
    <x v="5"/>
    <x v="3"/>
    <x v="234"/>
    <s v="2024-11-18"/>
    <x v="1"/>
    <n v="2"/>
    <n v="28906"/>
    <x v="4"/>
    <x v="3"/>
    <n v="1.83"/>
    <x v="2"/>
    <x v="4"/>
    <n v="2024"/>
    <x v="2"/>
  </r>
  <r>
    <s v="EMP0488"/>
    <s v="Aditya Patel"/>
    <n v="32"/>
    <s v="26–35"/>
    <x v="0"/>
    <x v="3"/>
    <x v="1"/>
    <x v="141"/>
    <s v=" NA"/>
    <x v="0"/>
    <n v="5"/>
    <n v="21064"/>
    <x v="4"/>
    <x v="2"/>
    <n v="4.17"/>
    <x v="1"/>
    <x v="4"/>
    <n v="2022"/>
    <x v="0"/>
  </r>
  <r>
    <s v="EMP0489"/>
    <s v="Manoj Iyer"/>
    <n v="50"/>
    <s v="46–55"/>
    <x v="0"/>
    <x v="3"/>
    <x v="0"/>
    <x v="235"/>
    <s v="2022-12-05"/>
    <x v="1"/>
    <n v="3"/>
    <n v="65683"/>
    <x v="1"/>
    <x v="2"/>
    <n v="4.08"/>
    <x v="0"/>
    <x v="6"/>
    <n v="2022"/>
    <x v="3"/>
  </r>
  <r>
    <s v="EMP0490"/>
    <s v="Neha Menon"/>
    <n v="24"/>
    <s v="18–25"/>
    <x v="1"/>
    <x v="2"/>
    <x v="0"/>
    <x v="59"/>
    <s v=" NA"/>
    <x v="0"/>
    <n v="4"/>
    <n v="65069"/>
    <x v="1"/>
    <x v="3"/>
    <n v="1.92"/>
    <x v="3"/>
    <x v="0"/>
    <n v="2024"/>
    <x v="0"/>
  </r>
  <r>
    <s v="EMP0491"/>
    <s v="Neha Das"/>
    <n v="22"/>
    <s v="18–25"/>
    <x v="0"/>
    <x v="1"/>
    <x v="0"/>
    <x v="236"/>
    <s v="2024-12-29"/>
    <x v="1"/>
    <n v="4"/>
    <n v="73639"/>
    <x v="1"/>
    <x v="3"/>
    <n v="1.83"/>
    <x v="1"/>
    <x v="7"/>
    <n v="2024"/>
    <x v="2"/>
  </r>
  <r>
    <s v="EMP0492"/>
    <s v="Anil Bose"/>
    <n v="21"/>
    <s v="18–25"/>
    <x v="1"/>
    <x v="6"/>
    <x v="1"/>
    <x v="4"/>
    <s v=" NA"/>
    <x v="0"/>
    <n v="2"/>
    <n v="45514"/>
    <x v="2"/>
    <x v="3"/>
    <n v="1.08"/>
    <x v="2"/>
    <x v="6"/>
    <n v="2025"/>
    <x v="0"/>
  </r>
  <r>
    <s v="EMP0493"/>
    <s v="Aisha Singh"/>
    <n v="30"/>
    <s v="26–35"/>
    <x v="1"/>
    <x v="1"/>
    <x v="0"/>
    <x v="40"/>
    <s v=" NA"/>
    <x v="0"/>
    <n v="4"/>
    <n v="156083"/>
    <x v="0"/>
    <x v="3"/>
    <n v="1.58"/>
    <x v="3"/>
    <x v="2"/>
    <n v="2025"/>
    <x v="0"/>
  </r>
  <r>
    <s v="EMP0494"/>
    <s v="Ananya Patel"/>
    <n v="43"/>
    <s v="36–45"/>
    <x v="0"/>
    <x v="3"/>
    <x v="4"/>
    <x v="237"/>
    <s v="2025-06-21"/>
    <x v="1"/>
    <n v="3"/>
    <n v="42469"/>
    <x v="2"/>
    <x v="3"/>
    <n v="1.75"/>
    <x v="3"/>
    <x v="2"/>
    <n v="2025"/>
    <x v="5"/>
  </r>
  <r>
    <s v="EMP0495"/>
    <s v="Aisha Jain"/>
    <n v="57"/>
    <s v="56+"/>
    <x v="0"/>
    <x v="2"/>
    <x v="0"/>
    <x v="140"/>
    <s v=" NA"/>
    <x v="0"/>
    <n v="2"/>
    <n v="53060"/>
    <x v="1"/>
    <x v="4"/>
    <n v="8.25"/>
    <x v="5"/>
    <x v="0"/>
    <n v="2018"/>
    <x v="0"/>
  </r>
  <r>
    <s v="EMP0496"/>
    <s v="Rohan Verma"/>
    <n v="36"/>
    <s v="36–45"/>
    <x v="1"/>
    <x v="7"/>
    <x v="0"/>
    <x v="238"/>
    <s v=" NA"/>
    <x v="0"/>
    <n v="3"/>
    <n v="41689"/>
    <x v="2"/>
    <x v="4"/>
    <n v="7.75"/>
    <x v="5"/>
    <x v="3"/>
    <n v="2019"/>
    <x v="0"/>
  </r>
  <r>
    <s v="EMP0497"/>
    <s v="Vikram Nair"/>
    <n v="36"/>
    <s v="36–45"/>
    <x v="1"/>
    <x v="2"/>
    <x v="2"/>
    <x v="48"/>
    <s v=" NA"/>
    <x v="0"/>
    <n v="1"/>
    <n v="23555"/>
    <x v="4"/>
    <x v="1"/>
    <n v="0.5"/>
    <x v="0"/>
    <x v="2"/>
    <n v="2026"/>
    <x v="0"/>
  </r>
  <r>
    <s v="EMP0498"/>
    <s v="Aditya Bose"/>
    <n v="33"/>
    <s v="26–35"/>
    <x v="0"/>
    <x v="0"/>
    <x v="1"/>
    <x v="5"/>
    <s v=" NA"/>
    <x v="0"/>
    <n v="4"/>
    <n v="48872"/>
    <x v="2"/>
    <x v="2"/>
    <n v="4.83"/>
    <x v="1"/>
    <x v="0"/>
    <n v="2021"/>
    <x v="0"/>
  </r>
  <r>
    <s v="EMP0499"/>
    <s v="Priya Shah"/>
    <n v="40"/>
    <s v="36–45"/>
    <x v="0"/>
    <x v="0"/>
    <x v="0"/>
    <x v="185"/>
    <s v=" NA"/>
    <x v="0"/>
    <n v="3"/>
    <n v="171254"/>
    <x v="0"/>
    <x v="4"/>
    <n v="9.92"/>
    <x v="0"/>
    <x v="5"/>
    <n v="2016"/>
    <x v="0"/>
  </r>
  <r>
    <s v="EMP0500"/>
    <s v="Ishita Jain"/>
    <n v="31"/>
    <s v="26–35"/>
    <x v="0"/>
    <x v="2"/>
    <x v="1"/>
    <x v="239"/>
    <s v=" NA"/>
    <x v="0"/>
    <n v="2"/>
    <n v="32768"/>
    <x v="2"/>
    <x v="4"/>
    <n v="5.75"/>
    <x v="2"/>
    <x v="1"/>
    <n v="2021"/>
    <x v="0"/>
  </r>
  <r>
    <s v="EMP0501"/>
    <s v="Anil Shah"/>
    <n v="26"/>
    <s v="26–35"/>
    <x v="1"/>
    <x v="6"/>
    <x v="0"/>
    <x v="27"/>
    <s v=" NA"/>
    <x v="0"/>
    <n v="4"/>
    <n v="18492"/>
    <x v="4"/>
    <x v="1"/>
    <n v="0.75"/>
    <x v="2"/>
    <x v="7"/>
    <n v="2026"/>
    <x v="0"/>
  </r>
  <r>
    <s v="EMP0502"/>
    <s v="Arjun Menon"/>
    <n v="42"/>
    <s v="36–45"/>
    <x v="1"/>
    <x v="0"/>
    <x v="0"/>
    <x v="240"/>
    <s v="2023-08-13"/>
    <x v="1"/>
    <n v="1"/>
    <n v="144834"/>
    <x v="0"/>
    <x v="2"/>
    <n v="3.25"/>
    <x v="5"/>
    <x v="3"/>
    <n v="2023"/>
    <x v="4"/>
  </r>
  <r>
    <s v="EMP0503"/>
    <s v="Neha Reddy"/>
    <n v="28"/>
    <s v="26–35"/>
    <x v="1"/>
    <x v="2"/>
    <x v="1"/>
    <x v="241"/>
    <s v="2026-04-29"/>
    <x v="1"/>
    <n v="3"/>
    <n v="95600"/>
    <x v="3"/>
    <x v="1"/>
    <n v="0.5"/>
    <x v="5"/>
    <x v="0"/>
    <n v="2026"/>
    <x v="1"/>
  </r>
  <r>
    <s v="EMP0504"/>
    <s v="Kavya Singh"/>
    <n v="49"/>
    <s v="46–55"/>
    <x v="0"/>
    <x v="3"/>
    <x v="0"/>
    <x v="178"/>
    <s v=" NA"/>
    <x v="0"/>
    <n v="3"/>
    <n v="70144"/>
    <x v="1"/>
    <x v="2"/>
    <n v="3.17"/>
    <x v="1"/>
    <x v="5"/>
    <n v="2023"/>
    <x v="0"/>
  </r>
  <r>
    <s v="EMP0505"/>
    <s v="Meera Kannan"/>
    <n v="45"/>
    <s v="36–45"/>
    <x v="1"/>
    <x v="2"/>
    <x v="3"/>
    <x v="118"/>
    <s v=" NA"/>
    <x v="0"/>
    <n v="3"/>
    <n v="54472"/>
    <x v="1"/>
    <x v="3"/>
    <n v="2.17"/>
    <x v="3"/>
    <x v="2"/>
    <n v="2024"/>
    <x v="0"/>
  </r>
  <r>
    <s v="EMP0506"/>
    <s v="Naveen Bose"/>
    <n v="59"/>
    <s v="56+"/>
    <x v="0"/>
    <x v="5"/>
    <x v="0"/>
    <x v="207"/>
    <s v=" NA"/>
    <x v="0"/>
    <n v="4"/>
    <n v="48857"/>
    <x v="2"/>
    <x v="4"/>
    <n v="8.42"/>
    <x v="3"/>
    <x v="0"/>
    <n v="2018"/>
    <x v="0"/>
  </r>
  <r>
    <s v="EMP0507"/>
    <s v="Divya Rao"/>
    <n v="26"/>
    <s v="26–35"/>
    <x v="0"/>
    <x v="5"/>
    <x v="0"/>
    <x v="242"/>
    <s v="2020-09-11"/>
    <x v="1"/>
    <n v="3"/>
    <n v="45192"/>
    <x v="2"/>
    <x v="0"/>
    <n v="12"/>
    <x v="1"/>
    <x v="2"/>
    <n v="2014"/>
    <x v="9"/>
  </r>
  <r>
    <s v="EMP0508"/>
    <s v="Ishita Bose"/>
    <n v="30"/>
    <s v="26–35"/>
    <x v="0"/>
    <x v="6"/>
    <x v="0"/>
    <x v="243"/>
    <s v=" NA"/>
    <x v="0"/>
    <n v="5"/>
    <n v="61091"/>
    <x v="1"/>
    <x v="0"/>
    <n v="11.75"/>
    <x v="0"/>
    <x v="2"/>
    <n v="2015"/>
    <x v="0"/>
  </r>
  <r>
    <s v="EMP0509"/>
    <s v="Nisha Das"/>
    <n v="30"/>
    <s v="26–35"/>
    <x v="0"/>
    <x v="5"/>
    <x v="1"/>
    <x v="48"/>
    <s v=" NA"/>
    <x v="0"/>
    <n v="4"/>
    <n v="21237"/>
    <x v="4"/>
    <x v="1"/>
    <n v="0.5"/>
    <x v="1"/>
    <x v="6"/>
    <n v="2026"/>
    <x v="0"/>
  </r>
  <r>
    <s v="EMP0510"/>
    <s v="Pooja Joshi"/>
    <n v="37"/>
    <s v="36–45"/>
    <x v="0"/>
    <x v="3"/>
    <x v="0"/>
    <x v="42"/>
    <s v=" NA"/>
    <x v="0"/>
    <n v="4"/>
    <n v="59668"/>
    <x v="1"/>
    <x v="1"/>
    <n v="0.17"/>
    <x v="0"/>
    <x v="3"/>
    <n v="2026"/>
    <x v="0"/>
  </r>
  <r>
    <s v="EMP0511"/>
    <s v="Nisha Krishnan"/>
    <n v="53"/>
    <s v="46–55"/>
    <x v="0"/>
    <x v="2"/>
    <x v="1"/>
    <x v="95"/>
    <s v=" NA"/>
    <x v="0"/>
    <n v="4"/>
    <n v="40042"/>
    <x v="2"/>
    <x v="4"/>
    <n v="5.58"/>
    <x v="5"/>
    <x v="4"/>
    <n v="2021"/>
    <x v="0"/>
  </r>
  <r>
    <s v="EMP0512"/>
    <s v="Ishita Menon"/>
    <n v="41"/>
    <s v="36–45"/>
    <x v="0"/>
    <x v="7"/>
    <x v="0"/>
    <x v="244"/>
    <s v="2016-08-25"/>
    <x v="1"/>
    <n v="4"/>
    <n v="137291"/>
    <x v="0"/>
    <x v="0"/>
    <n v="11.67"/>
    <x v="3"/>
    <x v="0"/>
    <n v="2014"/>
    <x v="8"/>
  </r>
  <r>
    <s v="EMP0513"/>
    <s v="Nisha Sharma"/>
    <n v="32"/>
    <s v="26–35"/>
    <x v="1"/>
    <x v="5"/>
    <x v="4"/>
    <x v="52"/>
    <s v=" NA"/>
    <x v="0"/>
    <n v="5"/>
    <n v="21402"/>
    <x v="4"/>
    <x v="3"/>
    <n v="2.08"/>
    <x v="0"/>
    <x v="2"/>
    <n v="2024"/>
    <x v="0"/>
  </r>
  <r>
    <s v="EMP0514"/>
    <s v="Pooja Singh"/>
    <n v="25"/>
    <s v="18–25"/>
    <x v="1"/>
    <x v="0"/>
    <x v="3"/>
    <x v="245"/>
    <s v="2026-10-18"/>
    <x v="1"/>
    <n v="3"/>
    <n v="42274"/>
    <x v="2"/>
    <x v="1"/>
    <n v="0.67"/>
    <x v="3"/>
    <x v="5"/>
    <n v="2026"/>
    <x v="1"/>
  </r>
  <r>
    <s v="EMP0515"/>
    <s v="Meera Joshi"/>
    <n v="21"/>
    <s v="18–25"/>
    <x v="0"/>
    <x v="2"/>
    <x v="3"/>
    <x v="29"/>
    <s v=" NA"/>
    <x v="0"/>
    <n v="3"/>
    <n v="33152"/>
    <x v="2"/>
    <x v="3"/>
    <n v="1.33"/>
    <x v="0"/>
    <x v="1"/>
    <n v="2025"/>
    <x v="0"/>
  </r>
  <r>
    <s v="EMP0516"/>
    <s v="Divya Rao"/>
    <n v="42"/>
    <s v="36–45"/>
    <x v="1"/>
    <x v="0"/>
    <x v="3"/>
    <x v="27"/>
    <s v=" NA"/>
    <x v="0"/>
    <n v="4"/>
    <n v="25893"/>
    <x v="4"/>
    <x v="1"/>
    <n v="0.75"/>
    <x v="1"/>
    <x v="0"/>
    <n v="2026"/>
    <x v="0"/>
  </r>
  <r>
    <s v="EMP0517"/>
    <s v="Ananya Shah"/>
    <n v="42"/>
    <s v="36–45"/>
    <x v="0"/>
    <x v="6"/>
    <x v="1"/>
    <x v="172"/>
    <s v=" NA"/>
    <x v="0"/>
    <n v="4"/>
    <n v="72111"/>
    <x v="1"/>
    <x v="3"/>
    <n v="3"/>
    <x v="0"/>
    <x v="3"/>
    <n v="2023"/>
    <x v="0"/>
  </r>
  <r>
    <s v="EMP0518"/>
    <s v="Manoj Das"/>
    <n v="23"/>
    <s v="18–25"/>
    <x v="0"/>
    <x v="2"/>
    <x v="0"/>
    <x v="246"/>
    <s v="2023-12-30"/>
    <x v="1"/>
    <n v="3"/>
    <n v="42419"/>
    <x v="2"/>
    <x v="3"/>
    <n v="2.75"/>
    <x v="0"/>
    <x v="1"/>
    <n v="2023"/>
    <x v="4"/>
  </r>
  <r>
    <s v="EMP0519"/>
    <s v="Aarav Kumar"/>
    <n v="40"/>
    <s v="36–45"/>
    <x v="1"/>
    <x v="6"/>
    <x v="1"/>
    <x v="21"/>
    <s v=" NA"/>
    <x v="0"/>
    <n v="4"/>
    <n v="41619"/>
    <x v="2"/>
    <x v="0"/>
    <n v="12.25"/>
    <x v="1"/>
    <x v="7"/>
    <n v="2014"/>
    <x v="0"/>
  </r>
  <r>
    <s v="EMP0520"/>
    <s v="Aditya Singh"/>
    <n v="59"/>
    <s v="56+"/>
    <x v="0"/>
    <x v="3"/>
    <x v="0"/>
    <x v="247"/>
    <s v="2021-09-28"/>
    <x v="1"/>
    <n v="4"/>
    <n v="20441"/>
    <x v="4"/>
    <x v="4"/>
    <n v="5.83"/>
    <x v="0"/>
    <x v="1"/>
    <n v="2020"/>
    <x v="6"/>
  </r>
  <r>
    <s v="EMP0521"/>
    <s v="Sana Singh"/>
    <n v="22"/>
    <s v="18–25"/>
    <x v="0"/>
    <x v="1"/>
    <x v="0"/>
    <x v="11"/>
    <s v=" NA"/>
    <x v="0"/>
    <n v="3"/>
    <n v="102374"/>
    <x v="0"/>
    <x v="1"/>
    <n v="0.42"/>
    <x v="1"/>
    <x v="2"/>
    <n v="2026"/>
    <x v="0"/>
  </r>
  <r>
    <s v="EMP0522"/>
    <s v="Priya Kumar"/>
    <n v="39"/>
    <s v="36–45"/>
    <x v="1"/>
    <x v="7"/>
    <x v="3"/>
    <x v="31"/>
    <s v=" NA"/>
    <x v="0"/>
    <n v="4"/>
    <n v="46568"/>
    <x v="2"/>
    <x v="1"/>
    <n v="0.67"/>
    <x v="0"/>
    <x v="0"/>
    <n v="2026"/>
    <x v="0"/>
  </r>
  <r>
    <s v="EMP0523"/>
    <s v="Vikram Nair"/>
    <n v="21"/>
    <s v="18–25"/>
    <x v="0"/>
    <x v="0"/>
    <x v="3"/>
    <x v="248"/>
    <s v="2026-03-09"/>
    <x v="1"/>
    <n v="3"/>
    <n v="91446"/>
    <x v="3"/>
    <x v="1"/>
    <n v="0.57999999999999996"/>
    <x v="0"/>
    <x v="6"/>
    <n v="2026"/>
    <x v="1"/>
  </r>
  <r>
    <s v="EMP0524"/>
    <s v="Aditya Singh"/>
    <n v="45"/>
    <s v="36–45"/>
    <x v="1"/>
    <x v="0"/>
    <x v="3"/>
    <x v="12"/>
    <s v=" NA"/>
    <x v="0"/>
    <n v="4"/>
    <n v="40877"/>
    <x v="2"/>
    <x v="1"/>
    <n v="0.08"/>
    <x v="2"/>
    <x v="2"/>
    <n v="2026"/>
    <x v="0"/>
  </r>
  <r>
    <s v="EMP0525"/>
    <s v="Sanjay Nair"/>
    <n v="34"/>
    <s v="26–35"/>
    <x v="0"/>
    <x v="1"/>
    <x v="2"/>
    <x v="12"/>
    <s v=" NA"/>
    <x v="0"/>
    <n v="3"/>
    <n v="27499"/>
    <x v="4"/>
    <x v="1"/>
    <n v="0.08"/>
    <x v="3"/>
    <x v="4"/>
    <n v="2026"/>
    <x v="0"/>
  </r>
  <r>
    <s v="EMP0526"/>
    <s v="Suresh Menon"/>
    <n v="21"/>
    <s v="18–25"/>
    <x v="0"/>
    <x v="3"/>
    <x v="4"/>
    <x v="12"/>
    <s v=" NA"/>
    <x v="0"/>
    <n v="4"/>
    <n v="56974"/>
    <x v="1"/>
    <x v="1"/>
    <n v="0.08"/>
    <x v="3"/>
    <x v="7"/>
    <n v="2026"/>
    <x v="0"/>
  </r>
  <r>
    <s v="EMP0527"/>
    <s v="Lakshmi Verma"/>
    <n v="37"/>
    <s v="36–45"/>
    <x v="1"/>
    <x v="1"/>
    <x v="2"/>
    <x v="249"/>
    <s v="2019-06-28"/>
    <x v="1"/>
    <n v="3"/>
    <n v="36937"/>
    <x v="2"/>
    <x v="4"/>
    <n v="7.5"/>
    <x v="3"/>
    <x v="0"/>
    <n v="2019"/>
    <x v="10"/>
  </r>
  <r>
    <s v="EMP0528"/>
    <s v="Ananya Shah"/>
    <n v="44"/>
    <s v="36–45"/>
    <x v="0"/>
    <x v="2"/>
    <x v="0"/>
    <x v="40"/>
    <s v=" NA"/>
    <x v="0"/>
    <n v="3"/>
    <n v="82792"/>
    <x v="3"/>
    <x v="3"/>
    <n v="1.58"/>
    <x v="0"/>
    <x v="0"/>
    <n v="2025"/>
    <x v="0"/>
  </r>
  <r>
    <s v="EMP0529"/>
    <s v="Keerthi Kannan"/>
    <n v="29"/>
    <s v="26–35"/>
    <x v="1"/>
    <x v="0"/>
    <x v="1"/>
    <x v="7"/>
    <s v=" NA"/>
    <x v="0"/>
    <n v="3"/>
    <n v="20961"/>
    <x v="4"/>
    <x v="1"/>
    <n v="0.25"/>
    <x v="0"/>
    <x v="4"/>
    <n v="2026"/>
    <x v="0"/>
  </r>
  <r>
    <s v="EMP0530"/>
    <s v="Sana Verma"/>
    <n v="47"/>
    <s v="46–55"/>
    <x v="0"/>
    <x v="5"/>
    <x v="3"/>
    <x v="2"/>
    <s v=" NA"/>
    <x v="0"/>
    <n v="3"/>
    <n v="63252"/>
    <x v="1"/>
    <x v="1"/>
    <n v="0.83"/>
    <x v="0"/>
    <x v="6"/>
    <n v="2025"/>
    <x v="0"/>
  </r>
  <r>
    <s v="EMP0531"/>
    <s v="Sanjay Shah"/>
    <n v="28"/>
    <s v="26–35"/>
    <x v="1"/>
    <x v="2"/>
    <x v="0"/>
    <x v="250"/>
    <s v="2026-09-30"/>
    <x v="1"/>
    <n v="3"/>
    <n v="24245"/>
    <x v="4"/>
    <x v="1"/>
    <n v="0.5"/>
    <x v="5"/>
    <x v="2"/>
    <n v="2026"/>
    <x v="1"/>
  </r>
  <r>
    <s v="EMP0532"/>
    <s v="Rahul Singh"/>
    <n v="45"/>
    <s v="36–45"/>
    <x v="0"/>
    <x v="3"/>
    <x v="3"/>
    <x v="79"/>
    <s v=" NA"/>
    <x v="0"/>
    <n v="4"/>
    <n v="59228"/>
    <x v="1"/>
    <x v="2"/>
    <n v="5"/>
    <x v="2"/>
    <x v="4"/>
    <n v="2021"/>
    <x v="0"/>
  </r>
  <r>
    <s v="EMP0533"/>
    <s v="Pooja Singh"/>
    <n v="23"/>
    <s v="18–25"/>
    <x v="0"/>
    <x v="3"/>
    <x v="3"/>
    <x v="251"/>
    <s v=" NA"/>
    <x v="0"/>
    <n v="2"/>
    <n v="38811"/>
    <x v="2"/>
    <x v="4"/>
    <n v="7"/>
    <x v="0"/>
    <x v="0"/>
    <n v="2019"/>
    <x v="0"/>
  </r>
  <r>
    <s v="EMP0534"/>
    <s v="Sanjay Joshi"/>
    <n v="39"/>
    <s v="36–45"/>
    <x v="1"/>
    <x v="7"/>
    <x v="1"/>
    <x v="12"/>
    <s v=" NA"/>
    <x v="0"/>
    <n v="2"/>
    <n v="20469"/>
    <x v="4"/>
    <x v="1"/>
    <n v="0.08"/>
    <x v="2"/>
    <x v="4"/>
    <n v="2026"/>
    <x v="0"/>
  </r>
  <r>
    <s v="EMP0535"/>
    <s v="Rohan Verma"/>
    <n v="35"/>
    <s v="26–35"/>
    <x v="0"/>
    <x v="0"/>
    <x v="0"/>
    <x v="46"/>
    <s v=" NA"/>
    <x v="0"/>
    <n v="1"/>
    <n v="54461"/>
    <x v="1"/>
    <x v="3"/>
    <n v="1.5"/>
    <x v="3"/>
    <x v="7"/>
    <n v="2025"/>
    <x v="0"/>
  </r>
  <r>
    <s v="EMP0536"/>
    <s v="Sanjay Patel"/>
    <n v="41"/>
    <s v="36–45"/>
    <x v="1"/>
    <x v="1"/>
    <x v="4"/>
    <x v="27"/>
    <s v=" NA"/>
    <x v="0"/>
    <n v="1"/>
    <n v="36725"/>
    <x v="2"/>
    <x v="1"/>
    <n v="0.75"/>
    <x v="4"/>
    <x v="2"/>
    <n v="2026"/>
    <x v="0"/>
  </r>
  <r>
    <s v="EMP0537"/>
    <s v="Arjun  Rao"/>
    <n v="30"/>
    <s v="26–35"/>
    <x v="1"/>
    <x v="6"/>
    <x v="1"/>
    <x v="74"/>
    <s v=" NA"/>
    <x v="0"/>
    <n v="3"/>
    <n v="47038"/>
    <x v="2"/>
    <x v="3"/>
    <n v="2.33"/>
    <x v="1"/>
    <x v="1"/>
    <n v="2024"/>
    <x v="0"/>
  </r>
  <r>
    <s v="EMP0538"/>
    <s v="Ananya Iyer"/>
    <n v="27"/>
    <s v="26–35"/>
    <x v="0"/>
    <x v="2"/>
    <x v="2"/>
    <x v="5"/>
    <s v=" NA"/>
    <x v="0"/>
    <n v="3"/>
    <n v="135986"/>
    <x v="0"/>
    <x v="2"/>
    <n v="4.83"/>
    <x v="5"/>
    <x v="0"/>
    <n v="2021"/>
    <x v="0"/>
  </r>
  <r>
    <s v="EMP0539"/>
    <s v="Vikram Das"/>
    <n v="46"/>
    <s v="46–55"/>
    <x v="0"/>
    <x v="2"/>
    <x v="1"/>
    <x v="252"/>
    <s v="2022-11-12"/>
    <x v="1"/>
    <n v="3"/>
    <n v="19234"/>
    <x v="4"/>
    <x v="2"/>
    <n v="4.08"/>
    <x v="0"/>
    <x v="6"/>
    <n v="2022"/>
    <x v="3"/>
  </r>
  <r>
    <s v="EMP0540"/>
    <s v="Rohan Nair"/>
    <n v="29"/>
    <s v="26–35"/>
    <x v="0"/>
    <x v="6"/>
    <x v="0"/>
    <x v="6"/>
    <s v=" NA"/>
    <x v="0"/>
    <n v="5"/>
    <n v="30446"/>
    <x v="2"/>
    <x v="1"/>
    <n v="0.92"/>
    <x v="0"/>
    <x v="2"/>
    <n v="2025"/>
    <x v="0"/>
  </r>
  <r>
    <s v="EMP0541"/>
    <s v="Naveen Verma"/>
    <n v="46"/>
    <s v="46–55"/>
    <x v="0"/>
    <x v="0"/>
    <x v="0"/>
    <x v="104"/>
    <s v=" NA"/>
    <x v="0"/>
    <n v="4"/>
    <n v="68653"/>
    <x v="1"/>
    <x v="3"/>
    <n v="1.67"/>
    <x v="1"/>
    <x v="4"/>
    <n v="2025"/>
    <x v="0"/>
  </r>
  <r>
    <s v="EMP0542"/>
    <s v="Divya Patel"/>
    <n v="32"/>
    <s v="26–35"/>
    <x v="1"/>
    <x v="2"/>
    <x v="1"/>
    <x v="140"/>
    <s v=" NA"/>
    <x v="0"/>
    <n v="4"/>
    <n v="85091"/>
    <x v="3"/>
    <x v="4"/>
    <n v="8.25"/>
    <x v="0"/>
    <x v="4"/>
    <n v="2018"/>
    <x v="0"/>
  </r>
  <r>
    <s v="EMP0543"/>
    <s v="Aarav Reddy"/>
    <n v="28"/>
    <s v="26–35"/>
    <x v="0"/>
    <x v="0"/>
    <x v="0"/>
    <x v="56"/>
    <s v=" NA"/>
    <x v="0"/>
    <n v="2"/>
    <n v="170405"/>
    <x v="0"/>
    <x v="2"/>
    <n v="4.42"/>
    <x v="1"/>
    <x v="4"/>
    <n v="2022"/>
    <x v="0"/>
  </r>
  <r>
    <s v="EMP0544"/>
    <s v="Divya Das"/>
    <n v="32"/>
    <s v="26–35"/>
    <x v="1"/>
    <x v="2"/>
    <x v="1"/>
    <x v="27"/>
    <s v=" NA"/>
    <x v="0"/>
    <n v="3"/>
    <n v="91060"/>
    <x v="3"/>
    <x v="1"/>
    <n v="0.75"/>
    <x v="2"/>
    <x v="7"/>
    <n v="2026"/>
    <x v="0"/>
  </r>
  <r>
    <s v="EMP0545"/>
    <s v="Aditya Sharma"/>
    <n v="40"/>
    <s v="36–45"/>
    <x v="1"/>
    <x v="7"/>
    <x v="1"/>
    <x v="155"/>
    <s v=" NA"/>
    <x v="0"/>
    <n v="4"/>
    <n v="81632"/>
    <x v="3"/>
    <x v="2"/>
    <n v="4.5"/>
    <x v="0"/>
    <x v="5"/>
    <n v="2022"/>
    <x v="0"/>
  </r>
  <r>
    <s v="EMP0546"/>
    <s v="Lakshmi Rao"/>
    <n v="30"/>
    <s v="26–35"/>
    <x v="0"/>
    <x v="0"/>
    <x v="0"/>
    <x v="253"/>
    <s v="2024-05-25"/>
    <x v="1"/>
    <n v="3"/>
    <n v="35313"/>
    <x v="2"/>
    <x v="3"/>
    <n v="2.25"/>
    <x v="4"/>
    <x v="0"/>
    <n v="2024"/>
    <x v="2"/>
  </r>
  <r>
    <s v="EMP0547"/>
    <s v="Nisha Patel"/>
    <n v="55"/>
    <s v="46–55"/>
    <x v="0"/>
    <x v="5"/>
    <x v="3"/>
    <x v="254"/>
    <s v="2026-10-11"/>
    <x v="1"/>
    <n v="4"/>
    <n v="88142"/>
    <x v="3"/>
    <x v="1"/>
    <n v="0.57999999999999996"/>
    <x v="2"/>
    <x v="3"/>
    <n v="2026"/>
    <x v="1"/>
  </r>
  <r>
    <s v="EMP0548"/>
    <s v="Meera Verma"/>
    <n v="24"/>
    <s v="18–25"/>
    <x v="1"/>
    <x v="6"/>
    <x v="3"/>
    <x v="255"/>
    <s v="2025-10-17"/>
    <x v="1"/>
    <n v="2"/>
    <n v="24999"/>
    <x v="4"/>
    <x v="1"/>
    <n v="0.83"/>
    <x v="1"/>
    <x v="3"/>
    <n v="2025"/>
    <x v="5"/>
  </r>
  <r>
    <s v="EMP0549"/>
    <s v="Kiran Iyer"/>
    <n v="24"/>
    <s v="18–25"/>
    <x v="1"/>
    <x v="1"/>
    <x v="2"/>
    <x v="13"/>
    <s v=" NA"/>
    <x v="0"/>
    <n v="5"/>
    <n v="41013"/>
    <x v="2"/>
    <x v="3"/>
    <n v="2.83"/>
    <x v="2"/>
    <x v="2"/>
    <n v="2023"/>
    <x v="0"/>
  </r>
  <r>
    <s v="EMP0550"/>
    <s v="Divya Sharma"/>
    <n v="44"/>
    <s v="36–45"/>
    <x v="0"/>
    <x v="3"/>
    <x v="3"/>
    <x v="256"/>
    <s v="2018-09-08"/>
    <x v="1"/>
    <n v="3"/>
    <n v="28697"/>
    <x v="4"/>
    <x v="0"/>
    <n v="15.58"/>
    <x v="5"/>
    <x v="6"/>
    <n v="2011"/>
    <x v="11"/>
  </r>
  <r>
    <s v="EMP0551"/>
    <s v="Priya Rao"/>
    <n v="40"/>
    <s v="36–45"/>
    <x v="0"/>
    <x v="0"/>
    <x v="1"/>
    <x v="11"/>
    <s v=" NA"/>
    <x v="0"/>
    <n v="2"/>
    <n v="76059"/>
    <x v="3"/>
    <x v="1"/>
    <n v="0.42"/>
    <x v="0"/>
    <x v="6"/>
    <n v="2026"/>
    <x v="0"/>
  </r>
  <r>
    <s v="EMP0552"/>
    <s v="Aisha Das"/>
    <n v="36"/>
    <s v="36–45"/>
    <x v="0"/>
    <x v="7"/>
    <x v="1"/>
    <x v="257"/>
    <s v="2025-07-01"/>
    <x v="1"/>
    <n v="3"/>
    <n v="55832"/>
    <x v="1"/>
    <x v="3"/>
    <n v="1.33"/>
    <x v="0"/>
    <x v="7"/>
    <n v="2025"/>
    <x v="5"/>
  </r>
  <r>
    <s v="EMP0553"/>
    <s v="Kiran Krishnan"/>
    <n v="52"/>
    <s v="46–55"/>
    <x v="0"/>
    <x v="2"/>
    <x v="2"/>
    <x v="221"/>
    <s v=" NA"/>
    <x v="0"/>
    <n v="1"/>
    <n v="99880"/>
    <x v="3"/>
    <x v="4"/>
    <n v="5.08"/>
    <x v="5"/>
    <x v="6"/>
    <n v="2021"/>
    <x v="0"/>
  </r>
  <r>
    <s v="EMP0554"/>
    <s v="Rahul Singh"/>
    <n v="43"/>
    <s v="36–45"/>
    <x v="1"/>
    <x v="3"/>
    <x v="2"/>
    <x v="258"/>
    <s v="2017-05-24"/>
    <x v="1"/>
    <n v="3"/>
    <n v="60715"/>
    <x v="1"/>
    <x v="0"/>
    <n v="11.67"/>
    <x v="3"/>
    <x v="4"/>
    <n v="2015"/>
    <x v="7"/>
  </r>
  <r>
    <s v="EMP0555"/>
    <s v="Sanjay Reddy"/>
    <n v="24"/>
    <s v="18–25"/>
    <x v="0"/>
    <x v="7"/>
    <x v="2"/>
    <x v="42"/>
    <s v=" NA"/>
    <x v="0"/>
    <n v="3"/>
    <n v="38192"/>
    <x v="2"/>
    <x v="1"/>
    <n v="0.17"/>
    <x v="3"/>
    <x v="5"/>
    <n v="2026"/>
    <x v="0"/>
  </r>
  <r>
    <s v="EMP0556"/>
    <s v="Rahul Jain"/>
    <n v="41"/>
    <s v="36–45"/>
    <x v="1"/>
    <x v="3"/>
    <x v="1"/>
    <x v="232"/>
    <s v=" NA"/>
    <x v="0"/>
    <n v="4"/>
    <n v="73632"/>
    <x v="1"/>
    <x v="0"/>
    <n v="10.42"/>
    <x v="2"/>
    <x v="4"/>
    <n v="2016"/>
    <x v="0"/>
  </r>
  <r>
    <s v="EMP0557"/>
    <s v="Aarav Nair"/>
    <n v="41"/>
    <s v="36–45"/>
    <x v="0"/>
    <x v="2"/>
    <x v="1"/>
    <x v="53"/>
    <s v=" NA"/>
    <x v="0"/>
    <n v="5"/>
    <n v="85469"/>
    <x v="3"/>
    <x v="3"/>
    <n v="2.42"/>
    <x v="0"/>
    <x v="4"/>
    <n v="2024"/>
    <x v="0"/>
  </r>
  <r>
    <s v="EMP0558"/>
    <s v="Rahul Gupta"/>
    <n v="34"/>
    <s v="26–35"/>
    <x v="1"/>
    <x v="3"/>
    <x v="1"/>
    <x v="170"/>
    <s v=" NA"/>
    <x v="0"/>
    <n v="4"/>
    <n v="22544"/>
    <x v="4"/>
    <x v="2"/>
    <n v="3.33"/>
    <x v="4"/>
    <x v="7"/>
    <n v="2023"/>
    <x v="0"/>
  </r>
  <r>
    <s v="EMP0559"/>
    <s v="Sana Reddy"/>
    <n v="29"/>
    <s v="26–35"/>
    <x v="1"/>
    <x v="6"/>
    <x v="4"/>
    <x v="84"/>
    <s v=" NA"/>
    <x v="0"/>
    <n v="2"/>
    <n v="55389"/>
    <x v="1"/>
    <x v="2"/>
    <n v="3.08"/>
    <x v="5"/>
    <x v="5"/>
    <n v="2023"/>
    <x v="0"/>
  </r>
  <r>
    <s v="EMP0560"/>
    <s v="Manoj Bose"/>
    <n v="38"/>
    <s v="36–45"/>
    <x v="0"/>
    <x v="1"/>
    <x v="0"/>
    <x v="13"/>
    <s v=" NA"/>
    <x v="0"/>
    <n v="4"/>
    <n v="53607"/>
    <x v="1"/>
    <x v="3"/>
    <n v="2.83"/>
    <x v="1"/>
    <x v="2"/>
    <n v="2023"/>
    <x v="0"/>
  </r>
  <r>
    <s v="EMP0561"/>
    <s v="Rahul Gupta"/>
    <n v="23"/>
    <s v="18–25"/>
    <x v="0"/>
    <x v="1"/>
    <x v="2"/>
    <x v="52"/>
    <s v=" NA"/>
    <x v="0"/>
    <n v="3"/>
    <n v="22658"/>
    <x v="4"/>
    <x v="3"/>
    <n v="2.08"/>
    <x v="1"/>
    <x v="3"/>
    <n v="2024"/>
    <x v="0"/>
  </r>
  <r>
    <s v="EMP0562"/>
    <s v="Keerthi Singh"/>
    <n v="28"/>
    <s v="26–35"/>
    <x v="0"/>
    <x v="2"/>
    <x v="0"/>
    <x v="259"/>
    <s v="2025-10-16"/>
    <x v="1"/>
    <n v="4"/>
    <n v="68196"/>
    <x v="1"/>
    <x v="3"/>
    <n v="1.08"/>
    <x v="0"/>
    <x v="1"/>
    <n v="2025"/>
    <x v="5"/>
  </r>
  <r>
    <s v="EMP0563"/>
    <s v="Sanjay Iyer"/>
    <n v="30"/>
    <s v="26–35"/>
    <x v="1"/>
    <x v="2"/>
    <x v="0"/>
    <x v="10"/>
    <s v=" NA"/>
    <x v="0"/>
    <n v="3"/>
    <n v="148602"/>
    <x v="0"/>
    <x v="4"/>
    <n v="5.33"/>
    <x v="1"/>
    <x v="4"/>
    <n v="2021"/>
    <x v="0"/>
  </r>
  <r>
    <s v="EMP0564"/>
    <s v="Ishita Shah"/>
    <n v="45"/>
    <s v="36–45"/>
    <x v="1"/>
    <x v="1"/>
    <x v="1"/>
    <x v="260"/>
    <s v=" NA"/>
    <x v="0"/>
    <n v="4"/>
    <n v="42202"/>
    <x v="2"/>
    <x v="0"/>
    <n v="15.33"/>
    <x v="0"/>
    <x v="2"/>
    <n v="2011"/>
    <x v="0"/>
  </r>
  <r>
    <s v="EMP0565"/>
    <s v="Nisha Bose"/>
    <n v="45"/>
    <s v="36–45"/>
    <x v="1"/>
    <x v="0"/>
    <x v="1"/>
    <x v="102"/>
    <s v=" NA"/>
    <x v="0"/>
    <n v="4"/>
    <n v="47108"/>
    <x v="2"/>
    <x v="1"/>
    <n v="1"/>
    <x v="0"/>
    <x v="4"/>
    <n v="2025"/>
    <x v="0"/>
  </r>
  <r>
    <s v="EMP0566"/>
    <s v="Suresh Patel"/>
    <n v="43"/>
    <s v="36–45"/>
    <x v="0"/>
    <x v="1"/>
    <x v="0"/>
    <x v="261"/>
    <s v="2025-11-29"/>
    <x v="1"/>
    <n v="4"/>
    <n v="24346"/>
    <x v="4"/>
    <x v="3"/>
    <n v="1.08"/>
    <x v="2"/>
    <x v="1"/>
    <n v="2025"/>
    <x v="5"/>
  </r>
  <r>
    <s v="EMP0567"/>
    <s v="Suresh Reddy"/>
    <n v="36"/>
    <s v="36–45"/>
    <x v="1"/>
    <x v="3"/>
    <x v="0"/>
    <x v="39"/>
    <s v=" NA"/>
    <x v="0"/>
    <n v="1"/>
    <n v="134670"/>
    <x v="0"/>
    <x v="1"/>
    <n v="0.33"/>
    <x v="2"/>
    <x v="5"/>
    <n v="2026"/>
    <x v="0"/>
  </r>
  <r>
    <s v="EMP0568"/>
    <s v="Kiran Rao"/>
    <n v="24"/>
    <s v="18–25"/>
    <x v="1"/>
    <x v="7"/>
    <x v="0"/>
    <x v="65"/>
    <s v=" NA"/>
    <x v="0"/>
    <n v="2"/>
    <n v="114320"/>
    <x v="0"/>
    <x v="0"/>
    <n v="12.58"/>
    <x v="3"/>
    <x v="6"/>
    <n v="2014"/>
    <x v="0"/>
  </r>
  <r>
    <s v="EMP0569"/>
    <s v="Anil Nair"/>
    <n v="23"/>
    <s v="18–25"/>
    <x v="1"/>
    <x v="7"/>
    <x v="4"/>
    <x v="231"/>
    <s v=" NA"/>
    <x v="0"/>
    <n v="3"/>
    <n v="100756"/>
    <x v="0"/>
    <x v="4"/>
    <n v="8.5"/>
    <x v="0"/>
    <x v="6"/>
    <n v="2018"/>
    <x v="0"/>
  </r>
  <r>
    <s v="EMP0570"/>
    <s v="Aarav Kumar"/>
    <n v="34"/>
    <s v="26–35"/>
    <x v="0"/>
    <x v="3"/>
    <x v="3"/>
    <x v="11"/>
    <s v=" NA"/>
    <x v="0"/>
    <n v="3"/>
    <n v="50350"/>
    <x v="1"/>
    <x v="1"/>
    <n v="0.42"/>
    <x v="5"/>
    <x v="4"/>
    <n v="2026"/>
    <x v="0"/>
  </r>
  <r>
    <s v="EMP0571"/>
    <s v="Neha Patel"/>
    <n v="41"/>
    <s v="36–45"/>
    <x v="1"/>
    <x v="0"/>
    <x v="3"/>
    <x v="6"/>
    <s v=" NA"/>
    <x v="0"/>
    <n v="4"/>
    <n v="27988"/>
    <x v="4"/>
    <x v="1"/>
    <n v="0.92"/>
    <x v="1"/>
    <x v="1"/>
    <n v="2025"/>
    <x v="0"/>
  </r>
  <r>
    <s v="EMP0572"/>
    <s v="Naveen Jain"/>
    <n v="23"/>
    <s v="18–25"/>
    <x v="0"/>
    <x v="2"/>
    <x v="3"/>
    <x v="42"/>
    <s v=" NA"/>
    <x v="0"/>
    <n v="5"/>
    <n v="66300"/>
    <x v="1"/>
    <x v="1"/>
    <n v="0.17"/>
    <x v="5"/>
    <x v="5"/>
    <n v="2026"/>
    <x v="0"/>
  </r>
  <r>
    <s v="EMP0573"/>
    <s v="Arjun Krishnan"/>
    <n v="32"/>
    <s v="26–35"/>
    <x v="0"/>
    <x v="1"/>
    <x v="3"/>
    <x v="44"/>
    <s v=" NA"/>
    <x v="0"/>
    <n v="3"/>
    <n v="29539"/>
    <x v="4"/>
    <x v="3"/>
    <n v="2.58"/>
    <x v="3"/>
    <x v="4"/>
    <n v="2024"/>
    <x v="0"/>
  </r>
  <r>
    <s v="EMP0574"/>
    <s v="Sana Bose"/>
    <n v="36"/>
    <s v="36–45"/>
    <x v="0"/>
    <x v="1"/>
    <x v="3"/>
    <x v="226"/>
    <s v="2026-09-23"/>
    <x v="1"/>
    <n v="5"/>
    <n v="23762"/>
    <x v="4"/>
    <x v="1"/>
    <n v="0.25"/>
    <x v="2"/>
    <x v="3"/>
    <n v="2026"/>
    <x v="1"/>
  </r>
  <r>
    <s v="EMP0575"/>
    <s v="Keerthi Singh"/>
    <n v="48"/>
    <s v="46–55"/>
    <x v="1"/>
    <x v="4"/>
    <x v="3"/>
    <x v="64"/>
    <s v=" NA"/>
    <x v="0"/>
    <n v="4"/>
    <n v="45804"/>
    <x v="2"/>
    <x v="2"/>
    <n v="3.67"/>
    <x v="0"/>
    <x v="3"/>
    <n v="2023"/>
    <x v="0"/>
  </r>
  <r>
    <s v="EMP0576"/>
    <s v="Divya Gupta"/>
    <n v="42"/>
    <s v="36–45"/>
    <x v="0"/>
    <x v="6"/>
    <x v="2"/>
    <x v="44"/>
    <s v=" NA"/>
    <x v="0"/>
    <n v="2"/>
    <n v="24593"/>
    <x v="4"/>
    <x v="3"/>
    <n v="2.58"/>
    <x v="3"/>
    <x v="7"/>
    <n v="2024"/>
    <x v="0"/>
  </r>
  <r>
    <s v="EMP0577"/>
    <s v="Divya Joshi"/>
    <n v="22"/>
    <s v="18–25"/>
    <x v="1"/>
    <x v="1"/>
    <x v="0"/>
    <x v="183"/>
    <s v=" NA"/>
    <x v="0"/>
    <n v="2"/>
    <n v="75556"/>
    <x v="3"/>
    <x v="3"/>
    <n v="1.25"/>
    <x v="2"/>
    <x v="2"/>
    <n v="2025"/>
    <x v="0"/>
  </r>
  <r>
    <s v="EMP0578"/>
    <s v="Arjun Iyer"/>
    <n v="36"/>
    <s v="36–45"/>
    <x v="1"/>
    <x v="3"/>
    <x v="1"/>
    <x v="48"/>
    <s v=" NA"/>
    <x v="0"/>
    <n v="3"/>
    <n v="38221"/>
    <x v="2"/>
    <x v="1"/>
    <n v="0.5"/>
    <x v="1"/>
    <x v="1"/>
    <n v="2026"/>
    <x v="0"/>
  </r>
  <r>
    <s v="EMP0579"/>
    <s v="Nisha Patel"/>
    <n v="25"/>
    <s v="18–25"/>
    <x v="0"/>
    <x v="6"/>
    <x v="0"/>
    <x v="262"/>
    <s v=" NA"/>
    <x v="0"/>
    <n v="2"/>
    <n v="87807"/>
    <x v="3"/>
    <x v="3"/>
    <n v="1.17"/>
    <x v="0"/>
    <x v="3"/>
    <n v="2025"/>
    <x v="0"/>
  </r>
  <r>
    <s v="EMP0580"/>
    <s v="Rohan Sharma"/>
    <n v="54"/>
    <s v="46–55"/>
    <x v="0"/>
    <x v="3"/>
    <x v="0"/>
    <x v="41"/>
    <s v=" NA"/>
    <x v="0"/>
    <n v="3"/>
    <n v="67073"/>
    <x v="1"/>
    <x v="2"/>
    <n v="3.42"/>
    <x v="1"/>
    <x v="6"/>
    <n v="2023"/>
    <x v="0"/>
  </r>
  <r>
    <s v="EMP0581"/>
    <s v="Ananya Shah"/>
    <n v="41"/>
    <s v="36–45"/>
    <x v="1"/>
    <x v="0"/>
    <x v="3"/>
    <x v="48"/>
    <s v=" NA"/>
    <x v="0"/>
    <n v="4"/>
    <n v="25633"/>
    <x v="4"/>
    <x v="1"/>
    <n v="0.5"/>
    <x v="5"/>
    <x v="2"/>
    <n v="2026"/>
    <x v="0"/>
  </r>
  <r>
    <s v="EMP0582"/>
    <s v="Arjun Gupta"/>
    <n v="24"/>
    <s v="18–25"/>
    <x v="0"/>
    <x v="3"/>
    <x v="0"/>
    <x v="102"/>
    <s v=" NA"/>
    <x v="0"/>
    <n v="3"/>
    <n v="45746"/>
    <x v="2"/>
    <x v="1"/>
    <n v="1"/>
    <x v="0"/>
    <x v="6"/>
    <n v="2025"/>
    <x v="0"/>
  </r>
  <r>
    <s v="EMP0583"/>
    <s v="Lakshmi Das"/>
    <n v="44"/>
    <s v="36–45"/>
    <x v="0"/>
    <x v="0"/>
    <x v="1"/>
    <x v="79"/>
    <s v=" NA"/>
    <x v="0"/>
    <n v="3"/>
    <n v="27818"/>
    <x v="4"/>
    <x v="2"/>
    <n v="5"/>
    <x v="0"/>
    <x v="6"/>
    <n v="2021"/>
    <x v="0"/>
  </r>
  <r>
    <s v="EMP0584"/>
    <s v="Sanjay Verma"/>
    <n v="21"/>
    <s v="18–25"/>
    <x v="1"/>
    <x v="5"/>
    <x v="4"/>
    <x v="77"/>
    <s v=" NA"/>
    <x v="0"/>
    <n v="3"/>
    <n v="37728"/>
    <x v="2"/>
    <x v="4"/>
    <n v="5.92"/>
    <x v="0"/>
    <x v="3"/>
    <n v="2020"/>
    <x v="0"/>
  </r>
  <r>
    <s v="EMP0585"/>
    <s v="Manoj Krishnan"/>
    <n v="44"/>
    <s v="36–45"/>
    <x v="1"/>
    <x v="2"/>
    <x v="0"/>
    <x v="24"/>
    <s v=" NA"/>
    <x v="0"/>
    <n v="4"/>
    <n v="95207"/>
    <x v="3"/>
    <x v="2"/>
    <n v="3.75"/>
    <x v="2"/>
    <x v="0"/>
    <n v="2023"/>
    <x v="0"/>
  </r>
  <r>
    <s v="EMP0586"/>
    <s v="Manoj Das"/>
    <n v="45"/>
    <s v="36–45"/>
    <x v="1"/>
    <x v="3"/>
    <x v="0"/>
    <x v="263"/>
    <s v=" NA"/>
    <x v="0"/>
    <n v="5"/>
    <n v="20123"/>
    <x v="4"/>
    <x v="4"/>
    <n v="8.92"/>
    <x v="0"/>
    <x v="5"/>
    <n v="2017"/>
    <x v="0"/>
  </r>
  <r>
    <s v="EMP0587"/>
    <s v="Aditya Jain"/>
    <n v="41"/>
    <s v="36–45"/>
    <x v="0"/>
    <x v="1"/>
    <x v="0"/>
    <x v="264"/>
    <s v="2020-09-25"/>
    <x v="1"/>
    <n v="3"/>
    <n v="35275"/>
    <x v="2"/>
    <x v="0"/>
    <n v="11"/>
    <x v="5"/>
    <x v="6"/>
    <n v="2015"/>
    <x v="9"/>
  </r>
  <r>
    <s v="EMP0588"/>
    <s v="Naveen Bose"/>
    <n v="32"/>
    <s v="26–35"/>
    <x v="1"/>
    <x v="7"/>
    <x v="2"/>
    <x v="84"/>
    <s v=" NA"/>
    <x v="0"/>
    <n v="3"/>
    <n v="99714"/>
    <x v="3"/>
    <x v="2"/>
    <n v="3.08"/>
    <x v="2"/>
    <x v="7"/>
    <n v="2023"/>
    <x v="0"/>
  </r>
  <r>
    <s v="EMP0589"/>
    <s v="Arjun Krishnan"/>
    <n v="42"/>
    <s v="36–45"/>
    <x v="1"/>
    <x v="0"/>
    <x v="3"/>
    <x v="29"/>
    <s v=" NA"/>
    <x v="0"/>
    <n v="4"/>
    <n v="40160"/>
    <x v="2"/>
    <x v="3"/>
    <n v="1.33"/>
    <x v="3"/>
    <x v="6"/>
    <n v="2025"/>
    <x v="0"/>
  </r>
  <r>
    <s v="EMP0590"/>
    <s v="Rahul Menon"/>
    <n v="29"/>
    <s v="26–35"/>
    <x v="0"/>
    <x v="0"/>
    <x v="0"/>
    <x v="265"/>
    <s v="2019-02-14"/>
    <x v="1"/>
    <n v="3"/>
    <n v="21392"/>
    <x v="4"/>
    <x v="4"/>
    <n v="9"/>
    <x v="3"/>
    <x v="1"/>
    <n v="2017"/>
    <x v="10"/>
  </r>
  <r>
    <s v="EMP0591"/>
    <s v="Aisha Shah"/>
    <n v="50"/>
    <s v="46–55"/>
    <x v="0"/>
    <x v="2"/>
    <x v="0"/>
    <x v="11"/>
    <s v=" NA"/>
    <x v="0"/>
    <n v="1"/>
    <n v="42790"/>
    <x v="2"/>
    <x v="1"/>
    <n v="0.42"/>
    <x v="1"/>
    <x v="2"/>
    <n v="2026"/>
    <x v="0"/>
  </r>
  <r>
    <s v="EMP0592"/>
    <s v="Aditya Jain"/>
    <n v="46"/>
    <s v="46–55"/>
    <x v="0"/>
    <x v="4"/>
    <x v="1"/>
    <x v="95"/>
    <s v=" NA"/>
    <x v="0"/>
    <n v="3"/>
    <n v="54869"/>
    <x v="1"/>
    <x v="4"/>
    <n v="5.58"/>
    <x v="0"/>
    <x v="2"/>
    <n v="2021"/>
    <x v="0"/>
  </r>
  <r>
    <s v="EMP0593"/>
    <s v="Vikram Jain"/>
    <n v="24"/>
    <s v="18–25"/>
    <x v="1"/>
    <x v="3"/>
    <x v="3"/>
    <x v="7"/>
    <s v=" NA"/>
    <x v="0"/>
    <n v="5"/>
    <n v="50327"/>
    <x v="1"/>
    <x v="1"/>
    <n v="0.25"/>
    <x v="0"/>
    <x v="1"/>
    <n v="2026"/>
    <x v="0"/>
  </r>
  <r>
    <s v="EMP0594"/>
    <s v="Meera Singh"/>
    <n v="60"/>
    <s v="56+"/>
    <x v="1"/>
    <x v="3"/>
    <x v="0"/>
    <x v="42"/>
    <s v=" NA"/>
    <x v="0"/>
    <n v="1"/>
    <n v="77448"/>
    <x v="3"/>
    <x v="1"/>
    <n v="0.17"/>
    <x v="0"/>
    <x v="1"/>
    <n v="2026"/>
    <x v="0"/>
  </r>
  <r>
    <s v="EMP0595"/>
    <s v="Suresh Krishnan"/>
    <n v="25"/>
    <s v="18–25"/>
    <x v="0"/>
    <x v="7"/>
    <x v="1"/>
    <x v="146"/>
    <s v=" NA"/>
    <x v="0"/>
    <n v="4"/>
    <n v="30613"/>
    <x v="2"/>
    <x v="4"/>
    <n v="5.83"/>
    <x v="2"/>
    <x v="3"/>
    <n v="2020"/>
    <x v="0"/>
  </r>
  <r>
    <s v="EMP0596"/>
    <s v="Keerthi Kumar"/>
    <n v="28"/>
    <s v="26–35"/>
    <x v="0"/>
    <x v="4"/>
    <x v="0"/>
    <x v="9"/>
    <s v=" NA"/>
    <x v="0"/>
    <n v="4"/>
    <n v="21237"/>
    <x v="4"/>
    <x v="2"/>
    <n v="4.92"/>
    <x v="0"/>
    <x v="4"/>
    <n v="2021"/>
    <x v="0"/>
  </r>
  <r>
    <s v="EMP0597"/>
    <s v="Aditya Nair"/>
    <n v="29"/>
    <s v="26–35"/>
    <x v="1"/>
    <x v="1"/>
    <x v="0"/>
    <x v="6"/>
    <s v=" NA"/>
    <x v="0"/>
    <n v="4"/>
    <n v="95527"/>
    <x v="3"/>
    <x v="1"/>
    <n v="0.92"/>
    <x v="2"/>
    <x v="0"/>
    <n v="2025"/>
    <x v="0"/>
  </r>
  <r>
    <s v="EMP0598"/>
    <s v="Divya Verma"/>
    <n v="42"/>
    <s v="36–45"/>
    <x v="0"/>
    <x v="3"/>
    <x v="0"/>
    <x v="266"/>
    <s v="2024-08-13"/>
    <x v="1"/>
    <n v="3"/>
    <n v="79101"/>
    <x v="3"/>
    <x v="3"/>
    <n v="2.17"/>
    <x v="1"/>
    <x v="0"/>
    <n v="2024"/>
    <x v="2"/>
  </r>
  <r>
    <s v="EMP0599"/>
    <s v="Meera Rao"/>
    <n v="39"/>
    <s v="36–45"/>
    <x v="1"/>
    <x v="0"/>
    <x v="0"/>
    <x v="31"/>
    <s v=" NA"/>
    <x v="0"/>
    <n v="5"/>
    <n v="29910"/>
    <x v="4"/>
    <x v="1"/>
    <n v="0.67"/>
    <x v="1"/>
    <x v="6"/>
    <n v="2026"/>
    <x v="0"/>
  </r>
  <r>
    <s v="EMP0600"/>
    <s v="Divya Patel"/>
    <n v="35"/>
    <s v="26–35"/>
    <x v="0"/>
    <x v="1"/>
    <x v="0"/>
    <x v="267"/>
    <s v="2025-10-18"/>
    <x v="1"/>
    <n v="2"/>
    <n v="23052"/>
    <x v="4"/>
    <x v="1"/>
    <n v="0.92"/>
    <x v="2"/>
    <x v="3"/>
    <n v="2025"/>
    <x v="5"/>
  </r>
  <r>
    <s v="EMP0601"/>
    <s v="Pooja Rao"/>
    <n v="33"/>
    <s v="26–35"/>
    <x v="1"/>
    <x v="2"/>
    <x v="4"/>
    <x v="161"/>
    <s v=" NA"/>
    <x v="0"/>
    <n v="2"/>
    <n v="140382"/>
    <x v="0"/>
    <x v="4"/>
    <n v="6.25"/>
    <x v="1"/>
    <x v="5"/>
    <n v="2020"/>
    <x v="0"/>
  </r>
  <r>
    <s v="EMP0602"/>
    <s v="Sanjay Kumar"/>
    <n v="24"/>
    <s v="18–25"/>
    <x v="0"/>
    <x v="1"/>
    <x v="4"/>
    <x v="268"/>
    <s v="2016-12-16"/>
    <x v="1"/>
    <n v="2"/>
    <n v="152263"/>
    <x v="0"/>
    <x v="4"/>
    <n v="9.75"/>
    <x v="2"/>
    <x v="6"/>
    <n v="2016"/>
    <x v="8"/>
  </r>
  <r>
    <s v="EMP0603"/>
    <s v="Rahul Patel"/>
    <n v="42"/>
    <s v="36–45"/>
    <x v="0"/>
    <x v="7"/>
    <x v="0"/>
    <x v="59"/>
    <s v=" NA"/>
    <x v="0"/>
    <n v="5"/>
    <n v="27069"/>
    <x v="4"/>
    <x v="3"/>
    <n v="1.92"/>
    <x v="2"/>
    <x v="0"/>
    <n v="2024"/>
    <x v="0"/>
  </r>
  <r>
    <s v="EMP0604"/>
    <s v="Anil  Reddy"/>
    <n v="29"/>
    <s v="26–35"/>
    <x v="0"/>
    <x v="2"/>
    <x v="0"/>
    <x v="39"/>
    <s v=" NA"/>
    <x v="0"/>
    <n v="3"/>
    <n v="29697"/>
    <x v="4"/>
    <x v="1"/>
    <n v="0.33"/>
    <x v="0"/>
    <x v="6"/>
    <n v="2026"/>
    <x v="0"/>
  </r>
  <r>
    <s v="EMP0605"/>
    <s v="Priya Joshi"/>
    <n v="21"/>
    <s v="18–25"/>
    <x v="1"/>
    <x v="1"/>
    <x v="0"/>
    <x v="42"/>
    <s v=" NA"/>
    <x v="0"/>
    <n v="3"/>
    <n v="46682"/>
    <x v="2"/>
    <x v="1"/>
    <n v="0.17"/>
    <x v="1"/>
    <x v="4"/>
    <n v="2026"/>
    <x v="0"/>
  </r>
  <r>
    <s v="EMP0606"/>
    <s v="Ishita Nair"/>
    <n v="53"/>
    <s v="46–55"/>
    <x v="0"/>
    <x v="3"/>
    <x v="3"/>
    <x v="269"/>
    <s v="2023-11-16"/>
    <x v="1"/>
    <n v="5"/>
    <n v="114423"/>
    <x v="0"/>
    <x v="2"/>
    <n v="3.25"/>
    <x v="0"/>
    <x v="3"/>
    <n v="2023"/>
    <x v="4"/>
  </r>
  <r>
    <s v="EMP0607"/>
    <s v="Aditya Rao"/>
    <n v="28"/>
    <s v="26–35"/>
    <x v="0"/>
    <x v="0"/>
    <x v="0"/>
    <x v="24"/>
    <s v=" NA"/>
    <x v="0"/>
    <n v="3"/>
    <n v="18256"/>
    <x v="4"/>
    <x v="2"/>
    <n v="3.75"/>
    <x v="5"/>
    <x v="1"/>
    <n v="2023"/>
    <x v="0"/>
  </r>
  <r>
    <s v="EMP0608"/>
    <s v="Kiran Sharma"/>
    <n v="25"/>
    <s v="18–25"/>
    <x v="1"/>
    <x v="6"/>
    <x v="4"/>
    <x v="13"/>
    <s v=" NA"/>
    <x v="0"/>
    <n v="5"/>
    <n v="93838"/>
    <x v="3"/>
    <x v="3"/>
    <n v="2.83"/>
    <x v="2"/>
    <x v="6"/>
    <n v="2023"/>
    <x v="0"/>
  </r>
  <r>
    <s v="EMP0609"/>
    <s v="Rohan Jain"/>
    <n v="23"/>
    <s v="18–25"/>
    <x v="0"/>
    <x v="2"/>
    <x v="1"/>
    <x v="270"/>
    <s v="2023-12-12"/>
    <x v="1"/>
    <n v="2"/>
    <n v="23170"/>
    <x v="4"/>
    <x v="3"/>
    <n v="2.83"/>
    <x v="2"/>
    <x v="2"/>
    <n v="2023"/>
    <x v="4"/>
  </r>
  <r>
    <s v="EMP0610"/>
    <s v="Naveen Patel"/>
    <n v="29"/>
    <s v="26–35"/>
    <x v="1"/>
    <x v="6"/>
    <x v="0"/>
    <x v="271"/>
    <s v=" NA"/>
    <x v="0"/>
    <n v="5"/>
    <n v="95701"/>
    <x v="3"/>
    <x v="0"/>
    <n v="15.17"/>
    <x v="3"/>
    <x v="1"/>
    <n v="2011"/>
    <x v="0"/>
  </r>
  <r>
    <s v="EMP0611"/>
    <s v="Nisha Kumar"/>
    <n v="44"/>
    <s v="36–45"/>
    <x v="0"/>
    <x v="0"/>
    <x v="1"/>
    <x v="272"/>
    <s v=" NA"/>
    <x v="0"/>
    <n v="3"/>
    <n v="69750"/>
    <x v="1"/>
    <x v="0"/>
    <n v="15"/>
    <x v="0"/>
    <x v="2"/>
    <n v="2011"/>
    <x v="0"/>
  </r>
  <r>
    <s v="EMP0612"/>
    <s v="Suresh Shah"/>
    <n v="54"/>
    <s v="46–55"/>
    <x v="1"/>
    <x v="5"/>
    <x v="0"/>
    <x v="7"/>
    <s v=" NA"/>
    <x v="0"/>
    <n v="4"/>
    <n v="76249"/>
    <x v="3"/>
    <x v="1"/>
    <n v="0.25"/>
    <x v="1"/>
    <x v="3"/>
    <n v="2026"/>
    <x v="0"/>
  </r>
  <r>
    <s v="EMP0613"/>
    <s v="Kiran Kannan"/>
    <n v="25"/>
    <s v="18–25"/>
    <x v="0"/>
    <x v="1"/>
    <x v="1"/>
    <x v="74"/>
    <s v=" NA"/>
    <x v="0"/>
    <n v="4"/>
    <n v="95494"/>
    <x v="3"/>
    <x v="3"/>
    <n v="2.33"/>
    <x v="1"/>
    <x v="3"/>
    <n v="2024"/>
    <x v="0"/>
  </r>
  <r>
    <s v="EMP0614"/>
    <s v="Ananya Patel"/>
    <n v="39"/>
    <s v="36–45"/>
    <x v="0"/>
    <x v="1"/>
    <x v="0"/>
    <x v="115"/>
    <s v=" NA"/>
    <x v="0"/>
    <n v="4"/>
    <n v="171426"/>
    <x v="0"/>
    <x v="3"/>
    <n v="1.42"/>
    <x v="2"/>
    <x v="2"/>
    <n v="2025"/>
    <x v="0"/>
  </r>
  <r>
    <s v="EMP0615"/>
    <s v="Nisha Jain"/>
    <n v="24"/>
    <s v="18–25"/>
    <x v="1"/>
    <x v="0"/>
    <x v="0"/>
    <x v="12"/>
    <s v=" NA"/>
    <x v="0"/>
    <n v="1"/>
    <n v="39386"/>
    <x v="2"/>
    <x v="1"/>
    <n v="0.08"/>
    <x v="3"/>
    <x v="7"/>
    <n v="2026"/>
    <x v="0"/>
  </r>
  <r>
    <s v="EMP0616"/>
    <s v="Arjun Jain"/>
    <n v="37"/>
    <s v="36–45"/>
    <x v="0"/>
    <x v="3"/>
    <x v="1"/>
    <x v="273"/>
    <s v="2021-04-04"/>
    <x v="1"/>
    <n v="3"/>
    <n v="45955"/>
    <x v="2"/>
    <x v="4"/>
    <n v="5.5"/>
    <x v="4"/>
    <x v="1"/>
    <n v="2021"/>
    <x v="6"/>
  </r>
  <r>
    <s v="EMP0617"/>
    <s v="Kavya Krishnan"/>
    <n v="32"/>
    <s v="26–35"/>
    <x v="0"/>
    <x v="3"/>
    <x v="0"/>
    <x v="102"/>
    <s v=" NA"/>
    <x v="0"/>
    <n v="1"/>
    <n v="77578"/>
    <x v="3"/>
    <x v="1"/>
    <n v="1"/>
    <x v="3"/>
    <x v="4"/>
    <n v="2025"/>
    <x v="0"/>
  </r>
  <r>
    <s v="EMP0618"/>
    <s v="Rohan Reddy"/>
    <n v="24"/>
    <s v="18–25"/>
    <x v="0"/>
    <x v="6"/>
    <x v="1"/>
    <x v="64"/>
    <s v=" NA"/>
    <x v="0"/>
    <n v="3"/>
    <n v="136817"/>
    <x v="0"/>
    <x v="2"/>
    <n v="3.67"/>
    <x v="0"/>
    <x v="1"/>
    <n v="2023"/>
    <x v="0"/>
  </r>
  <r>
    <s v="EMP0619"/>
    <s v="Lakshmi Bose"/>
    <n v="52"/>
    <s v="46–55"/>
    <x v="1"/>
    <x v="5"/>
    <x v="1"/>
    <x v="238"/>
    <s v=" NA"/>
    <x v="0"/>
    <n v="3"/>
    <n v="23374"/>
    <x v="4"/>
    <x v="4"/>
    <n v="7.75"/>
    <x v="2"/>
    <x v="6"/>
    <n v="2019"/>
    <x v="0"/>
  </r>
  <r>
    <s v="EMP0620"/>
    <s v="Manoj Das"/>
    <n v="31"/>
    <s v="26–35"/>
    <x v="0"/>
    <x v="5"/>
    <x v="1"/>
    <x v="274"/>
    <s v=" NA"/>
    <x v="0"/>
    <n v="4"/>
    <n v="32790"/>
    <x v="2"/>
    <x v="0"/>
    <n v="12.5"/>
    <x v="4"/>
    <x v="7"/>
    <n v="2014"/>
    <x v="0"/>
  </r>
  <r>
    <s v="EMP0621"/>
    <s v="Arjun Bose"/>
    <n v="27"/>
    <s v="26–35"/>
    <x v="1"/>
    <x v="2"/>
    <x v="0"/>
    <x v="28"/>
    <s v=" NA"/>
    <x v="0"/>
    <n v="5"/>
    <n v="84801"/>
    <x v="3"/>
    <x v="2"/>
    <n v="3.83"/>
    <x v="1"/>
    <x v="5"/>
    <n v="2022"/>
    <x v="0"/>
  </r>
  <r>
    <s v="EMP0622"/>
    <s v="Vikram Das"/>
    <n v="35"/>
    <s v="26–35"/>
    <x v="0"/>
    <x v="6"/>
    <x v="0"/>
    <x v="31"/>
    <s v=" NA"/>
    <x v="0"/>
    <n v="4"/>
    <n v="92407"/>
    <x v="3"/>
    <x v="1"/>
    <n v="0.67"/>
    <x v="5"/>
    <x v="1"/>
    <n v="2026"/>
    <x v="0"/>
  </r>
  <r>
    <s v="EMP0623"/>
    <s v="Naveen Nair"/>
    <n v="27"/>
    <s v="26–35"/>
    <x v="0"/>
    <x v="0"/>
    <x v="3"/>
    <x v="198"/>
    <s v=" NA"/>
    <x v="0"/>
    <n v="4"/>
    <n v="66557"/>
    <x v="1"/>
    <x v="4"/>
    <n v="9.5"/>
    <x v="3"/>
    <x v="3"/>
    <n v="2017"/>
    <x v="0"/>
  </r>
  <r>
    <s v="EMP0624"/>
    <s v="Vikram Reddy"/>
    <n v="28"/>
    <s v="26–35"/>
    <x v="1"/>
    <x v="1"/>
    <x v="0"/>
    <x v="275"/>
    <s v=" NA"/>
    <x v="0"/>
    <n v="3"/>
    <n v="70876"/>
    <x v="1"/>
    <x v="0"/>
    <n v="10.17"/>
    <x v="2"/>
    <x v="4"/>
    <n v="2016"/>
    <x v="0"/>
  </r>
  <r>
    <s v="EMP0625"/>
    <s v="Aisha Bose"/>
    <n v="57"/>
    <s v="56+"/>
    <x v="0"/>
    <x v="2"/>
    <x v="2"/>
    <x v="276"/>
    <s v=" NA"/>
    <x v="0"/>
    <n v="5"/>
    <n v="165690"/>
    <x v="0"/>
    <x v="4"/>
    <n v="6.92"/>
    <x v="0"/>
    <x v="0"/>
    <n v="2019"/>
    <x v="0"/>
  </r>
  <r>
    <s v="EMP0626"/>
    <s v="Aditya Bose"/>
    <n v="40"/>
    <s v="36–45"/>
    <x v="1"/>
    <x v="6"/>
    <x v="0"/>
    <x v="31"/>
    <s v=" NA"/>
    <x v="0"/>
    <n v="4"/>
    <n v="92029"/>
    <x v="3"/>
    <x v="1"/>
    <n v="0.67"/>
    <x v="3"/>
    <x v="7"/>
    <n v="2026"/>
    <x v="0"/>
  </r>
  <r>
    <s v="EMP0627"/>
    <s v="Lakshmi Reddy"/>
    <n v="27"/>
    <s v="26–35"/>
    <x v="1"/>
    <x v="7"/>
    <x v="2"/>
    <x v="87"/>
    <s v=" NA"/>
    <x v="0"/>
    <n v="4"/>
    <n v="20473"/>
    <x v="4"/>
    <x v="0"/>
    <n v="10.25"/>
    <x v="2"/>
    <x v="3"/>
    <n v="2016"/>
    <x v="0"/>
  </r>
  <r>
    <s v="EMP0628"/>
    <s v="Ishita Bose"/>
    <n v="27"/>
    <s v="26–35"/>
    <x v="0"/>
    <x v="0"/>
    <x v="0"/>
    <x v="161"/>
    <s v=" NA"/>
    <x v="0"/>
    <n v="3"/>
    <n v="66834"/>
    <x v="1"/>
    <x v="4"/>
    <n v="6.25"/>
    <x v="5"/>
    <x v="7"/>
    <n v="2020"/>
    <x v="0"/>
  </r>
  <r>
    <s v="EMP0629"/>
    <s v="Meera Bose"/>
    <n v="37"/>
    <s v="36–45"/>
    <x v="1"/>
    <x v="2"/>
    <x v="0"/>
    <x v="137"/>
    <s v=" NA"/>
    <x v="0"/>
    <n v="2"/>
    <n v="46653"/>
    <x v="2"/>
    <x v="2"/>
    <n v="4.58"/>
    <x v="3"/>
    <x v="0"/>
    <n v="2022"/>
    <x v="0"/>
  </r>
  <r>
    <s v="EMP0630"/>
    <s v="Rahul Krishnan"/>
    <n v="32"/>
    <s v="26–35"/>
    <x v="1"/>
    <x v="5"/>
    <x v="3"/>
    <x v="20"/>
    <s v=" NA"/>
    <x v="0"/>
    <n v="4"/>
    <n v="40525"/>
    <x v="2"/>
    <x v="4"/>
    <n v="7.83"/>
    <x v="5"/>
    <x v="1"/>
    <n v="2018"/>
    <x v="0"/>
  </r>
  <r>
    <s v="EMP0631"/>
    <s v="Divya Das"/>
    <n v="25"/>
    <s v="18–25"/>
    <x v="0"/>
    <x v="2"/>
    <x v="1"/>
    <x v="71"/>
    <s v=" NA"/>
    <x v="0"/>
    <n v="4"/>
    <n v="44187"/>
    <x v="2"/>
    <x v="4"/>
    <n v="6.5"/>
    <x v="2"/>
    <x v="0"/>
    <n v="2020"/>
    <x v="0"/>
  </r>
  <r>
    <s v="EMP0632"/>
    <s v="Naveen Joshi"/>
    <n v="37"/>
    <s v="36–45"/>
    <x v="1"/>
    <x v="3"/>
    <x v="0"/>
    <x v="6"/>
    <s v=" NA"/>
    <x v="0"/>
    <n v="5"/>
    <n v="33977"/>
    <x v="2"/>
    <x v="1"/>
    <n v="0.92"/>
    <x v="0"/>
    <x v="7"/>
    <n v="2025"/>
    <x v="0"/>
  </r>
  <r>
    <s v="EMP0633"/>
    <s v="Neha Reddy"/>
    <n v="37"/>
    <s v="36–45"/>
    <x v="1"/>
    <x v="2"/>
    <x v="0"/>
    <x v="277"/>
    <s v=" NA"/>
    <x v="0"/>
    <n v="4"/>
    <n v="20028"/>
    <x v="4"/>
    <x v="0"/>
    <n v="14.83"/>
    <x v="4"/>
    <x v="7"/>
    <n v="2011"/>
    <x v="0"/>
  </r>
  <r>
    <s v="EMP0634"/>
    <s v="Suresh Kannan"/>
    <n v="35"/>
    <s v="26–35"/>
    <x v="0"/>
    <x v="2"/>
    <x v="0"/>
    <x v="40"/>
    <s v=" NA"/>
    <x v="0"/>
    <n v="3"/>
    <n v="21268"/>
    <x v="4"/>
    <x v="3"/>
    <n v="1.58"/>
    <x v="1"/>
    <x v="0"/>
    <n v="2025"/>
    <x v="0"/>
  </r>
  <r>
    <s v="EMP0635"/>
    <s v="Arjun Das"/>
    <n v="21"/>
    <s v="18–25"/>
    <x v="1"/>
    <x v="2"/>
    <x v="0"/>
    <x v="278"/>
    <s v=" NA"/>
    <x v="0"/>
    <n v="2"/>
    <n v="99486"/>
    <x v="3"/>
    <x v="4"/>
    <n v="6.17"/>
    <x v="5"/>
    <x v="5"/>
    <n v="2020"/>
    <x v="0"/>
  </r>
  <r>
    <s v="EMP0636"/>
    <s v="Arjun Joshi"/>
    <n v="39"/>
    <s v="36–45"/>
    <x v="1"/>
    <x v="1"/>
    <x v="0"/>
    <x v="188"/>
    <s v="2025-12-17"/>
    <x v="1"/>
    <n v="5"/>
    <n v="49917"/>
    <x v="2"/>
    <x v="3"/>
    <n v="1.08"/>
    <x v="0"/>
    <x v="4"/>
    <n v="2025"/>
    <x v="5"/>
  </r>
  <r>
    <s v="EMP0637"/>
    <s v="Sana Singh"/>
    <n v="22"/>
    <s v="18–25"/>
    <x v="1"/>
    <x v="2"/>
    <x v="2"/>
    <x v="279"/>
    <s v="2023-10-12"/>
    <x v="1"/>
    <n v="3"/>
    <n v="62074"/>
    <x v="1"/>
    <x v="3"/>
    <n v="2.92"/>
    <x v="3"/>
    <x v="1"/>
    <n v="2023"/>
    <x v="4"/>
  </r>
  <r>
    <s v="EMP0638"/>
    <s v="Lakshmi Reddy"/>
    <n v="50"/>
    <s v="46–55"/>
    <x v="1"/>
    <x v="2"/>
    <x v="3"/>
    <x v="280"/>
    <s v="2020-06-30"/>
    <x v="1"/>
    <n v="3"/>
    <n v="22573"/>
    <x v="4"/>
    <x v="4"/>
    <n v="6.67"/>
    <x v="2"/>
    <x v="7"/>
    <n v="2019"/>
    <x v="9"/>
  </r>
  <r>
    <s v="EMP0639"/>
    <s v="Neha Patel"/>
    <n v="39"/>
    <s v="36–45"/>
    <x v="1"/>
    <x v="3"/>
    <x v="1"/>
    <x v="281"/>
    <s v="2023-12-15"/>
    <x v="1"/>
    <n v="4"/>
    <n v="65486"/>
    <x v="1"/>
    <x v="3"/>
    <n v="2.83"/>
    <x v="1"/>
    <x v="5"/>
    <n v="2023"/>
    <x v="4"/>
  </r>
  <r>
    <s v="EMP0640"/>
    <s v="Rohan Jain"/>
    <n v="27"/>
    <s v="26–35"/>
    <x v="0"/>
    <x v="2"/>
    <x v="2"/>
    <x v="282"/>
    <s v=" NA"/>
    <x v="0"/>
    <n v="4"/>
    <n v="67218"/>
    <x v="1"/>
    <x v="0"/>
    <n v="12.67"/>
    <x v="1"/>
    <x v="2"/>
    <n v="2014"/>
    <x v="0"/>
  </r>
  <r>
    <s v="EMP0641"/>
    <s v="Arjun Kumar"/>
    <n v="29"/>
    <s v="26–35"/>
    <x v="0"/>
    <x v="3"/>
    <x v="3"/>
    <x v="283"/>
    <s v="2018-05-25"/>
    <x v="1"/>
    <n v="3"/>
    <n v="27857"/>
    <x v="4"/>
    <x v="0"/>
    <n v="15.33"/>
    <x v="1"/>
    <x v="6"/>
    <n v="2011"/>
    <x v="11"/>
  </r>
  <r>
    <s v="EMP0642"/>
    <s v="Manoj Kannan"/>
    <n v="27"/>
    <s v="26–35"/>
    <x v="1"/>
    <x v="2"/>
    <x v="0"/>
    <x v="31"/>
    <s v=" NA"/>
    <x v="0"/>
    <n v="4"/>
    <n v="21404"/>
    <x v="4"/>
    <x v="1"/>
    <n v="0.67"/>
    <x v="1"/>
    <x v="5"/>
    <n v="2026"/>
    <x v="0"/>
  </r>
  <r>
    <s v="EMP0643"/>
    <s v="Rahul Sharma"/>
    <n v="45"/>
    <s v="36–45"/>
    <x v="1"/>
    <x v="2"/>
    <x v="0"/>
    <x v="105"/>
    <s v=" NA"/>
    <x v="0"/>
    <n v="5"/>
    <n v="39442"/>
    <x v="2"/>
    <x v="3"/>
    <n v="2.25"/>
    <x v="3"/>
    <x v="5"/>
    <n v="2024"/>
    <x v="0"/>
  </r>
  <r>
    <s v="EMP0644"/>
    <s v="Keerthi Kannan"/>
    <n v="40"/>
    <s v="36–45"/>
    <x v="1"/>
    <x v="2"/>
    <x v="3"/>
    <x v="6"/>
    <s v=" NA"/>
    <x v="0"/>
    <n v="4"/>
    <n v="19644"/>
    <x v="4"/>
    <x v="1"/>
    <n v="0.92"/>
    <x v="0"/>
    <x v="0"/>
    <n v="2025"/>
    <x v="0"/>
  </r>
  <r>
    <s v="EMP0645"/>
    <s v="Naveen Singh"/>
    <n v="52"/>
    <s v="46–55"/>
    <x v="1"/>
    <x v="1"/>
    <x v="2"/>
    <x v="27"/>
    <s v=" NA"/>
    <x v="0"/>
    <n v="2"/>
    <n v="23513"/>
    <x v="4"/>
    <x v="1"/>
    <n v="0.75"/>
    <x v="2"/>
    <x v="0"/>
    <n v="2026"/>
    <x v="0"/>
  </r>
  <r>
    <s v="EMP0646"/>
    <s v="Vikram Gupta"/>
    <n v="35"/>
    <s v="26–35"/>
    <x v="0"/>
    <x v="2"/>
    <x v="1"/>
    <x v="196"/>
    <s v=" NA"/>
    <x v="0"/>
    <n v="3"/>
    <n v="34141"/>
    <x v="2"/>
    <x v="2"/>
    <n v="4.25"/>
    <x v="2"/>
    <x v="1"/>
    <n v="2022"/>
    <x v="0"/>
  </r>
  <r>
    <s v="EMP0647"/>
    <s v="Arjun Krishnan"/>
    <n v="42"/>
    <s v="36–45"/>
    <x v="0"/>
    <x v="1"/>
    <x v="0"/>
    <x v="42"/>
    <s v=" NA"/>
    <x v="0"/>
    <n v="1"/>
    <n v="99832"/>
    <x v="3"/>
    <x v="1"/>
    <n v="0.17"/>
    <x v="1"/>
    <x v="7"/>
    <n v="2026"/>
    <x v="0"/>
  </r>
  <r>
    <s v="EMP0648"/>
    <s v="Meera Rao"/>
    <n v="50"/>
    <s v="46–55"/>
    <x v="1"/>
    <x v="3"/>
    <x v="0"/>
    <x v="262"/>
    <s v=" NA"/>
    <x v="0"/>
    <n v="4"/>
    <n v="74433"/>
    <x v="1"/>
    <x v="3"/>
    <n v="1.17"/>
    <x v="0"/>
    <x v="3"/>
    <n v="2025"/>
    <x v="0"/>
  </r>
  <r>
    <s v="EMP0649"/>
    <s v="Aarav Joshi"/>
    <n v="21"/>
    <s v="18–25"/>
    <x v="1"/>
    <x v="5"/>
    <x v="3"/>
    <x v="56"/>
    <s v=" NA"/>
    <x v="0"/>
    <n v="5"/>
    <n v="159993"/>
    <x v="0"/>
    <x v="2"/>
    <n v="4.42"/>
    <x v="1"/>
    <x v="7"/>
    <n v="2022"/>
    <x v="0"/>
  </r>
  <r>
    <s v="EMP0650"/>
    <s v="Manoj Das"/>
    <n v="54"/>
    <s v="46–55"/>
    <x v="1"/>
    <x v="6"/>
    <x v="1"/>
    <x v="12"/>
    <s v=" NA"/>
    <x v="0"/>
    <n v="4"/>
    <n v="39751"/>
    <x v="2"/>
    <x v="1"/>
    <n v="0.08"/>
    <x v="3"/>
    <x v="3"/>
    <n v="2026"/>
    <x v="0"/>
  </r>
  <r>
    <s v="EMP0651"/>
    <s v="Aarav Patel"/>
    <n v="27"/>
    <s v="26–35"/>
    <x v="0"/>
    <x v="7"/>
    <x v="0"/>
    <x v="17"/>
    <s v=" NA"/>
    <x v="0"/>
    <n v="3"/>
    <n v="21973"/>
    <x v="4"/>
    <x v="2"/>
    <n v="3.58"/>
    <x v="0"/>
    <x v="5"/>
    <n v="2023"/>
    <x v="0"/>
  </r>
  <r>
    <s v="EMP0652"/>
    <s v="Aditya Nair"/>
    <n v="32"/>
    <s v="26–35"/>
    <x v="0"/>
    <x v="7"/>
    <x v="2"/>
    <x v="110"/>
    <s v=" NA"/>
    <x v="0"/>
    <n v="1"/>
    <n v="49875"/>
    <x v="2"/>
    <x v="4"/>
    <n v="6.67"/>
    <x v="2"/>
    <x v="7"/>
    <n v="2020"/>
    <x v="0"/>
  </r>
  <r>
    <s v="EMP0653"/>
    <s v="Divya Singh"/>
    <n v="21"/>
    <s v="18–25"/>
    <x v="0"/>
    <x v="3"/>
    <x v="1"/>
    <x v="284"/>
    <s v="2022-05-23"/>
    <x v="1"/>
    <n v="3"/>
    <n v="81044"/>
    <x v="3"/>
    <x v="2"/>
    <n v="4.67"/>
    <x v="3"/>
    <x v="7"/>
    <n v="2022"/>
    <x v="3"/>
  </r>
  <r>
    <s v="EMP0654"/>
    <s v="Aisha Sharma"/>
    <n v="47"/>
    <s v="46–55"/>
    <x v="0"/>
    <x v="4"/>
    <x v="3"/>
    <x v="69"/>
    <s v=" NA"/>
    <x v="0"/>
    <n v="4"/>
    <n v="30627"/>
    <x v="2"/>
    <x v="4"/>
    <n v="5.42"/>
    <x v="1"/>
    <x v="4"/>
    <n v="2021"/>
    <x v="0"/>
  </r>
  <r>
    <s v="EMP0655"/>
    <s v="Rohan Jain"/>
    <n v="36"/>
    <s v="36–45"/>
    <x v="0"/>
    <x v="6"/>
    <x v="0"/>
    <x v="27"/>
    <s v=" NA"/>
    <x v="0"/>
    <n v="3"/>
    <n v="31615"/>
    <x v="2"/>
    <x v="1"/>
    <n v="0.75"/>
    <x v="3"/>
    <x v="4"/>
    <n v="2026"/>
    <x v="0"/>
  </r>
  <r>
    <s v="EMP0656"/>
    <s v="Priya Rao"/>
    <n v="21"/>
    <s v="18–25"/>
    <x v="0"/>
    <x v="6"/>
    <x v="0"/>
    <x v="115"/>
    <s v=" NA"/>
    <x v="0"/>
    <n v="3"/>
    <n v="81182"/>
    <x v="3"/>
    <x v="3"/>
    <n v="1.42"/>
    <x v="2"/>
    <x v="4"/>
    <n v="2025"/>
    <x v="0"/>
  </r>
  <r>
    <s v="EMP0657"/>
    <s v="Rohan Sharma"/>
    <n v="25"/>
    <s v="18–25"/>
    <x v="0"/>
    <x v="2"/>
    <x v="0"/>
    <x v="155"/>
    <s v=" NA"/>
    <x v="0"/>
    <n v="2"/>
    <n v="48812"/>
    <x v="2"/>
    <x v="2"/>
    <n v="4.5"/>
    <x v="1"/>
    <x v="1"/>
    <n v="2022"/>
    <x v="0"/>
  </r>
  <r>
    <s v="EMP0658"/>
    <s v="Aditya Rao"/>
    <n v="22"/>
    <s v="18–25"/>
    <x v="0"/>
    <x v="0"/>
    <x v="0"/>
    <x v="285"/>
    <s v=" NA"/>
    <x v="0"/>
    <n v="3"/>
    <n v="69204"/>
    <x v="1"/>
    <x v="0"/>
    <n v="11.25"/>
    <x v="3"/>
    <x v="4"/>
    <n v="2015"/>
    <x v="0"/>
  </r>
  <r>
    <s v="EMP0659"/>
    <s v="Aditya Menon"/>
    <n v="26"/>
    <s v="26–35"/>
    <x v="1"/>
    <x v="3"/>
    <x v="0"/>
    <x v="42"/>
    <s v=" NA"/>
    <x v="0"/>
    <n v="4"/>
    <n v="19024"/>
    <x v="4"/>
    <x v="1"/>
    <n v="0.17"/>
    <x v="0"/>
    <x v="5"/>
    <n v="2026"/>
    <x v="0"/>
  </r>
  <r>
    <s v="EMP0660"/>
    <s v="Arjun Gupta"/>
    <n v="42"/>
    <s v="36–45"/>
    <x v="0"/>
    <x v="7"/>
    <x v="1"/>
    <x v="158"/>
    <s v="2026-05-09"/>
    <x v="1"/>
    <n v="3"/>
    <n v="35830"/>
    <x v="2"/>
    <x v="1"/>
    <n v="0.5"/>
    <x v="1"/>
    <x v="2"/>
    <n v="2026"/>
    <x v="1"/>
  </r>
  <r>
    <s v="EMP0661"/>
    <s v="Nisha Kumar"/>
    <n v="51"/>
    <s v="46–55"/>
    <x v="1"/>
    <x v="2"/>
    <x v="0"/>
    <x v="196"/>
    <s v=" NA"/>
    <x v="0"/>
    <n v="5"/>
    <n v="40594"/>
    <x v="2"/>
    <x v="2"/>
    <n v="4.25"/>
    <x v="3"/>
    <x v="0"/>
    <n v="2022"/>
    <x v="0"/>
  </r>
  <r>
    <s v="EMP0662"/>
    <s v="Aditya Reddy"/>
    <n v="39"/>
    <s v="36–45"/>
    <x v="1"/>
    <x v="2"/>
    <x v="0"/>
    <x v="36"/>
    <s v=" NA"/>
    <x v="0"/>
    <n v="3"/>
    <n v="61364"/>
    <x v="1"/>
    <x v="4"/>
    <n v="9.08"/>
    <x v="0"/>
    <x v="6"/>
    <n v="2017"/>
    <x v="0"/>
  </r>
  <r>
    <s v="EMP0663"/>
    <s v="Keerthi Joshi"/>
    <n v="35"/>
    <s v="26–35"/>
    <x v="1"/>
    <x v="3"/>
    <x v="1"/>
    <x v="286"/>
    <s v="2021-10-09"/>
    <x v="1"/>
    <n v="2"/>
    <n v="63303"/>
    <x v="1"/>
    <x v="4"/>
    <n v="5.67"/>
    <x v="0"/>
    <x v="1"/>
    <n v="2021"/>
    <x v="6"/>
  </r>
  <r>
    <s v="EMP0664"/>
    <s v="Sana Nair"/>
    <n v="28"/>
    <s v="26–35"/>
    <x v="0"/>
    <x v="2"/>
    <x v="4"/>
    <x v="120"/>
    <s v=" NA"/>
    <x v="0"/>
    <n v="3"/>
    <n v="62730"/>
    <x v="1"/>
    <x v="3"/>
    <n v="1.83"/>
    <x v="0"/>
    <x v="0"/>
    <n v="2024"/>
    <x v="0"/>
  </r>
  <r>
    <s v="EMP0665"/>
    <s v="Kiran Patel"/>
    <n v="33"/>
    <s v="26–35"/>
    <x v="0"/>
    <x v="3"/>
    <x v="0"/>
    <x v="40"/>
    <s v=" NA"/>
    <x v="0"/>
    <n v="4"/>
    <n v="57357"/>
    <x v="1"/>
    <x v="3"/>
    <n v="1.58"/>
    <x v="2"/>
    <x v="6"/>
    <n v="2025"/>
    <x v="0"/>
  </r>
  <r>
    <s v="EMP0666"/>
    <s v="Naveen Nair"/>
    <n v="29"/>
    <s v="26–35"/>
    <x v="1"/>
    <x v="6"/>
    <x v="0"/>
    <x v="31"/>
    <s v=" NA"/>
    <x v="0"/>
    <n v="1"/>
    <n v="81946"/>
    <x v="3"/>
    <x v="1"/>
    <n v="0.67"/>
    <x v="5"/>
    <x v="2"/>
    <n v="2026"/>
    <x v="0"/>
  </r>
  <r>
    <s v="EMP0667"/>
    <s v="Aarav Reddy"/>
    <n v="25"/>
    <s v="18–25"/>
    <x v="0"/>
    <x v="2"/>
    <x v="0"/>
    <x v="147"/>
    <s v="2017-04-30"/>
    <x v="1"/>
    <n v="4"/>
    <n v="148544"/>
    <x v="0"/>
    <x v="4"/>
    <n v="9.58"/>
    <x v="3"/>
    <x v="3"/>
    <n v="2017"/>
    <x v="7"/>
  </r>
  <r>
    <s v="EMP0668"/>
    <s v="Ishita Nair"/>
    <n v="40"/>
    <s v="36–45"/>
    <x v="1"/>
    <x v="1"/>
    <x v="0"/>
    <x v="25"/>
    <s v=" NA"/>
    <x v="0"/>
    <n v="3"/>
    <n v="89233"/>
    <x v="3"/>
    <x v="0"/>
    <n v="12.92"/>
    <x v="2"/>
    <x v="3"/>
    <n v="2013"/>
    <x v="0"/>
  </r>
  <r>
    <s v="EMP0669"/>
    <s v="Ishita Gupta"/>
    <n v="38"/>
    <s v="36–45"/>
    <x v="0"/>
    <x v="5"/>
    <x v="3"/>
    <x v="48"/>
    <s v=" NA"/>
    <x v="0"/>
    <n v="4"/>
    <n v="56139"/>
    <x v="1"/>
    <x v="1"/>
    <n v="0.5"/>
    <x v="0"/>
    <x v="3"/>
    <n v="2026"/>
    <x v="0"/>
  </r>
  <r>
    <s v="EMP0670"/>
    <s v="Aisha Bose"/>
    <n v="40"/>
    <s v="36–45"/>
    <x v="0"/>
    <x v="2"/>
    <x v="2"/>
    <x v="219"/>
    <s v=" NA"/>
    <x v="0"/>
    <n v="3"/>
    <n v="22356"/>
    <x v="4"/>
    <x v="0"/>
    <n v="10.08"/>
    <x v="1"/>
    <x v="2"/>
    <n v="2016"/>
    <x v="0"/>
  </r>
  <r>
    <s v="EMP0671"/>
    <s v="Lakshmi  Rao"/>
    <n v="26"/>
    <s v="26–35"/>
    <x v="0"/>
    <x v="5"/>
    <x v="3"/>
    <x v="287"/>
    <s v="2026-05-15"/>
    <x v="1"/>
    <n v="3"/>
    <n v="35246"/>
    <x v="2"/>
    <x v="1"/>
    <n v="0.42"/>
    <x v="1"/>
    <x v="4"/>
    <n v="2026"/>
    <x v="1"/>
  </r>
  <r>
    <s v="EMP0672"/>
    <s v="Kavya Bose"/>
    <n v="24"/>
    <s v="18–25"/>
    <x v="0"/>
    <x v="3"/>
    <x v="1"/>
    <x v="13"/>
    <s v=" NA"/>
    <x v="0"/>
    <n v="3"/>
    <n v="67595"/>
    <x v="1"/>
    <x v="3"/>
    <n v="2.83"/>
    <x v="3"/>
    <x v="1"/>
    <n v="2023"/>
    <x v="0"/>
  </r>
  <r>
    <s v="EMP0673"/>
    <s v="Sana Rao"/>
    <n v="23"/>
    <s v="18–25"/>
    <x v="1"/>
    <x v="2"/>
    <x v="1"/>
    <x v="111"/>
    <s v=" NA"/>
    <x v="0"/>
    <n v="5"/>
    <n v="98868"/>
    <x v="3"/>
    <x v="3"/>
    <n v="2.92"/>
    <x v="3"/>
    <x v="5"/>
    <n v="2023"/>
    <x v="0"/>
  </r>
  <r>
    <s v="EMP0674"/>
    <s v="Nisha Gupta"/>
    <n v="39"/>
    <s v="36–45"/>
    <x v="1"/>
    <x v="2"/>
    <x v="0"/>
    <x v="288"/>
    <s v="2025-12-19"/>
    <x v="1"/>
    <n v="5"/>
    <n v="19482"/>
    <x v="4"/>
    <x v="1"/>
    <n v="1"/>
    <x v="1"/>
    <x v="5"/>
    <n v="2025"/>
    <x v="5"/>
  </r>
  <r>
    <s v="EMP0675"/>
    <s v="Manoj Singh"/>
    <n v="28"/>
    <s v="26–35"/>
    <x v="1"/>
    <x v="5"/>
    <x v="0"/>
    <x v="66"/>
    <s v=" NA"/>
    <x v="0"/>
    <n v="1"/>
    <n v="31953"/>
    <x v="2"/>
    <x v="1"/>
    <n v="0.57999999999999996"/>
    <x v="1"/>
    <x v="2"/>
    <n v="2026"/>
    <x v="0"/>
  </r>
  <r>
    <s v="EMP0676"/>
    <s v="Pooja Verma"/>
    <n v="38"/>
    <s v="36–45"/>
    <x v="0"/>
    <x v="6"/>
    <x v="2"/>
    <x v="9"/>
    <s v=" NA"/>
    <x v="0"/>
    <n v="5"/>
    <n v="64325"/>
    <x v="1"/>
    <x v="2"/>
    <n v="4.92"/>
    <x v="2"/>
    <x v="5"/>
    <n v="2021"/>
    <x v="0"/>
  </r>
  <r>
    <s v="EMP0677"/>
    <s v="Aarav Iyer"/>
    <n v="58"/>
    <s v="56+"/>
    <x v="0"/>
    <x v="0"/>
    <x v="0"/>
    <x v="27"/>
    <s v=" NA"/>
    <x v="0"/>
    <n v="3"/>
    <n v="42187"/>
    <x v="2"/>
    <x v="1"/>
    <n v="0.75"/>
    <x v="1"/>
    <x v="5"/>
    <n v="2026"/>
    <x v="0"/>
  </r>
  <r>
    <s v="EMP0678"/>
    <s v="Priya Menon"/>
    <n v="47"/>
    <s v="46–55"/>
    <x v="0"/>
    <x v="3"/>
    <x v="3"/>
    <x v="289"/>
    <s v="2019-01-29"/>
    <x v="1"/>
    <n v="3"/>
    <n v="143121"/>
    <x v="0"/>
    <x v="0"/>
    <n v="10.25"/>
    <x v="0"/>
    <x v="6"/>
    <n v="2016"/>
    <x v="10"/>
  </r>
  <r>
    <s v="EMP0679"/>
    <s v="Ishita Joshi"/>
    <n v="22"/>
    <s v="18–25"/>
    <x v="0"/>
    <x v="4"/>
    <x v="3"/>
    <x v="41"/>
    <s v=" NA"/>
    <x v="0"/>
    <n v="3"/>
    <n v="52639"/>
    <x v="1"/>
    <x v="2"/>
    <n v="3.42"/>
    <x v="1"/>
    <x v="0"/>
    <n v="2023"/>
    <x v="0"/>
  </r>
  <r>
    <s v="EMP0680"/>
    <s v="Neha Reddy"/>
    <n v="22"/>
    <s v="18–25"/>
    <x v="0"/>
    <x v="2"/>
    <x v="4"/>
    <x v="48"/>
    <s v=" NA"/>
    <x v="0"/>
    <n v="5"/>
    <n v="74177"/>
    <x v="1"/>
    <x v="1"/>
    <n v="0.5"/>
    <x v="2"/>
    <x v="4"/>
    <n v="2026"/>
    <x v="0"/>
  </r>
  <r>
    <s v="EMP0681"/>
    <s v="Suresh Krishnan"/>
    <n v="32"/>
    <s v="26–35"/>
    <x v="0"/>
    <x v="1"/>
    <x v="1"/>
    <x v="290"/>
    <s v="2025-12-01"/>
    <x v="1"/>
    <n v="4"/>
    <n v="77960"/>
    <x v="3"/>
    <x v="1"/>
    <n v="0.92"/>
    <x v="0"/>
    <x v="1"/>
    <n v="2025"/>
    <x v="5"/>
  </r>
  <r>
    <s v="EMP0682"/>
    <s v="Rahul Reddy"/>
    <n v="22"/>
    <s v="18–25"/>
    <x v="1"/>
    <x v="5"/>
    <x v="1"/>
    <x v="291"/>
    <s v="2026-10-10"/>
    <x v="1"/>
    <n v="4"/>
    <n v="18254"/>
    <x v="4"/>
    <x v="1"/>
    <n v="0.08"/>
    <x v="0"/>
    <x v="5"/>
    <n v="2026"/>
    <x v="1"/>
  </r>
  <r>
    <s v="EMP0683"/>
    <s v="Aarav Kumar"/>
    <n v="61"/>
    <s v="56+"/>
    <x v="0"/>
    <x v="2"/>
    <x v="0"/>
    <x v="11"/>
    <s v=" NA"/>
    <x v="0"/>
    <n v="3"/>
    <n v="84534"/>
    <x v="3"/>
    <x v="1"/>
    <n v="0.42"/>
    <x v="3"/>
    <x v="0"/>
    <n v="2026"/>
    <x v="0"/>
  </r>
  <r>
    <s v="EMP0684"/>
    <s v="Kiran Kannan"/>
    <n v="31"/>
    <s v="26–35"/>
    <x v="1"/>
    <x v="6"/>
    <x v="1"/>
    <x v="292"/>
    <s v=" NA"/>
    <x v="0"/>
    <n v="3"/>
    <n v="90894"/>
    <x v="3"/>
    <x v="2"/>
    <n v="3.25"/>
    <x v="5"/>
    <x v="3"/>
    <n v="2023"/>
    <x v="0"/>
  </r>
  <r>
    <s v="EMP0685"/>
    <s v="Nisha Rao"/>
    <n v="32"/>
    <s v="26–35"/>
    <x v="0"/>
    <x v="2"/>
    <x v="1"/>
    <x v="293"/>
    <s v="2025-06-22"/>
    <x v="1"/>
    <n v="4"/>
    <n v="174994"/>
    <x v="0"/>
    <x v="3"/>
    <n v="1.25"/>
    <x v="0"/>
    <x v="6"/>
    <n v="2025"/>
    <x v="5"/>
  </r>
  <r>
    <s v="EMP0686"/>
    <s v="Aisha Sharma"/>
    <n v="52"/>
    <s v="46–55"/>
    <x v="1"/>
    <x v="0"/>
    <x v="0"/>
    <x v="115"/>
    <s v=" NA"/>
    <x v="0"/>
    <n v="3"/>
    <n v="92846"/>
    <x v="3"/>
    <x v="3"/>
    <n v="1.42"/>
    <x v="0"/>
    <x v="5"/>
    <n v="2025"/>
    <x v="0"/>
  </r>
  <r>
    <s v="EMP0687"/>
    <s v="Sana Rao"/>
    <n v="27"/>
    <s v="26–35"/>
    <x v="0"/>
    <x v="7"/>
    <x v="2"/>
    <x v="294"/>
    <s v="2024-11-19"/>
    <x v="1"/>
    <n v="3"/>
    <n v="30240"/>
    <x v="2"/>
    <x v="3"/>
    <n v="2.42"/>
    <x v="2"/>
    <x v="1"/>
    <n v="2024"/>
    <x v="2"/>
  </r>
  <r>
    <s v="EMP0688"/>
    <s v="Divya Nair"/>
    <n v="35"/>
    <s v="26–35"/>
    <x v="1"/>
    <x v="1"/>
    <x v="0"/>
    <x v="295"/>
    <s v="2016-11-05"/>
    <x v="1"/>
    <n v="3"/>
    <n v="54087"/>
    <x v="1"/>
    <x v="0"/>
    <n v="15.83"/>
    <x v="5"/>
    <x v="0"/>
    <n v="2010"/>
    <x v="8"/>
  </r>
  <r>
    <s v="EMP0689"/>
    <s v="Ishita Kannan"/>
    <n v="42"/>
    <s v="36–45"/>
    <x v="1"/>
    <x v="0"/>
    <x v="0"/>
    <x v="162"/>
    <s v=" NA"/>
    <x v="0"/>
    <n v="3"/>
    <n v="36009"/>
    <x v="2"/>
    <x v="4"/>
    <n v="7.25"/>
    <x v="1"/>
    <x v="4"/>
    <n v="2019"/>
    <x v="0"/>
  </r>
  <r>
    <s v="EMP0690"/>
    <s v="Ishita Joshi"/>
    <n v="48"/>
    <s v="46–55"/>
    <x v="1"/>
    <x v="3"/>
    <x v="1"/>
    <x v="296"/>
    <s v="2022-12-30"/>
    <x v="1"/>
    <n v="4"/>
    <n v="37096"/>
    <x v="2"/>
    <x v="2"/>
    <n v="3.75"/>
    <x v="0"/>
    <x v="6"/>
    <n v="2022"/>
    <x v="3"/>
  </r>
  <r>
    <s v="EMP0691"/>
    <s v="Lakshmi Patel"/>
    <n v="37"/>
    <s v="36–45"/>
    <x v="1"/>
    <x v="6"/>
    <x v="1"/>
    <x v="23"/>
    <s v=" NA"/>
    <x v="0"/>
    <n v="3"/>
    <n v="30130"/>
    <x v="2"/>
    <x v="0"/>
    <n v="14.67"/>
    <x v="3"/>
    <x v="5"/>
    <n v="2012"/>
    <x v="0"/>
  </r>
  <r>
    <s v="EMP0692"/>
    <s v="Aisha Gupta"/>
    <n v="58"/>
    <s v="56+"/>
    <x v="0"/>
    <x v="0"/>
    <x v="4"/>
    <x v="4"/>
    <s v=" NA"/>
    <x v="0"/>
    <n v="4"/>
    <n v="73272"/>
    <x v="1"/>
    <x v="3"/>
    <n v="1.08"/>
    <x v="2"/>
    <x v="5"/>
    <n v="2025"/>
    <x v="0"/>
  </r>
  <r>
    <s v="EMP0693"/>
    <s v="Aditya Menon"/>
    <n v="43"/>
    <s v="36–45"/>
    <x v="0"/>
    <x v="1"/>
    <x v="0"/>
    <x v="31"/>
    <s v=" NA"/>
    <x v="0"/>
    <n v="4"/>
    <n v="74513"/>
    <x v="1"/>
    <x v="1"/>
    <n v="0.67"/>
    <x v="0"/>
    <x v="5"/>
    <n v="2026"/>
    <x v="0"/>
  </r>
  <r>
    <s v="EMP0694"/>
    <s v="Manoj Jain"/>
    <n v="41"/>
    <s v="36–45"/>
    <x v="1"/>
    <x v="2"/>
    <x v="1"/>
    <x v="48"/>
    <s v=" NA"/>
    <x v="0"/>
    <n v="2"/>
    <n v="82306"/>
    <x v="3"/>
    <x v="1"/>
    <n v="0.5"/>
    <x v="0"/>
    <x v="5"/>
    <n v="2026"/>
    <x v="0"/>
  </r>
  <r>
    <s v="EMP0695"/>
    <s v="Nisha Bose"/>
    <n v="41"/>
    <s v="36–45"/>
    <x v="0"/>
    <x v="6"/>
    <x v="0"/>
    <x v="2"/>
    <s v=" NA"/>
    <x v="0"/>
    <n v="5"/>
    <n v="21462"/>
    <x v="4"/>
    <x v="1"/>
    <n v="0.83"/>
    <x v="2"/>
    <x v="0"/>
    <n v="2025"/>
    <x v="0"/>
  </r>
  <r>
    <s v="EMP0696"/>
    <s v="Ishita Bose"/>
    <n v="23"/>
    <s v="18–25"/>
    <x v="1"/>
    <x v="1"/>
    <x v="3"/>
    <x v="297"/>
    <s v="2025-10-01"/>
    <x v="1"/>
    <n v="3"/>
    <n v="50007"/>
    <x v="1"/>
    <x v="1"/>
    <n v="0.92"/>
    <x v="4"/>
    <x v="5"/>
    <n v="2025"/>
    <x v="5"/>
  </r>
  <r>
    <s v="EMP0697"/>
    <s v="Aditya Sharma"/>
    <n v="22"/>
    <s v="18–25"/>
    <x v="0"/>
    <x v="2"/>
    <x v="3"/>
    <x v="33"/>
    <s v=" NA"/>
    <x v="0"/>
    <n v="3"/>
    <n v="31115"/>
    <x v="2"/>
    <x v="2"/>
    <n v="4.33"/>
    <x v="0"/>
    <x v="0"/>
    <n v="2022"/>
    <x v="0"/>
  </r>
  <r>
    <s v="EMP0698"/>
    <s v="Kiran Kumar"/>
    <n v="21"/>
    <s v="18–25"/>
    <x v="1"/>
    <x v="7"/>
    <x v="0"/>
    <x v="298"/>
    <s v="2018-11-22"/>
    <x v="1"/>
    <n v="4"/>
    <n v="64911"/>
    <x v="1"/>
    <x v="4"/>
    <n v="7.75"/>
    <x v="0"/>
    <x v="7"/>
    <n v="2018"/>
    <x v="11"/>
  </r>
  <r>
    <s v="EMP0699"/>
    <s v="Pooja Das"/>
    <n v="32"/>
    <s v="26–35"/>
    <x v="1"/>
    <x v="6"/>
    <x v="3"/>
    <x v="66"/>
    <s v=" NA"/>
    <x v="0"/>
    <n v="5"/>
    <n v="86127"/>
    <x v="3"/>
    <x v="1"/>
    <n v="0.57999999999999996"/>
    <x v="2"/>
    <x v="0"/>
    <n v="2026"/>
    <x v="0"/>
  </r>
  <r>
    <s v="EMP0700"/>
    <s v="Rohan Joshi"/>
    <n v="25"/>
    <s v="18–25"/>
    <x v="1"/>
    <x v="2"/>
    <x v="1"/>
    <x v="299"/>
    <s v="2022-09-28"/>
    <x v="1"/>
    <n v="3"/>
    <n v="89692"/>
    <x v="3"/>
    <x v="2"/>
    <n v="4.42"/>
    <x v="4"/>
    <x v="3"/>
    <n v="2022"/>
    <x v="3"/>
  </r>
  <r>
    <s v="EMP0701"/>
    <s v="Vikram Reddy"/>
    <n v="54"/>
    <s v="46–55"/>
    <x v="0"/>
    <x v="0"/>
    <x v="0"/>
    <x v="39"/>
    <s v=" NA"/>
    <x v="0"/>
    <n v="4"/>
    <n v="66564"/>
    <x v="1"/>
    <x v="1"/>
    <n v="0.33"/>
    <x v="0"/>
    <x v="0"/>
    <n v="2026"/>
    <x v="0"/>
  </r>
  <r>
    <s v="EMP0702"/>
    <s v="Aisha Shah"/>
    <n v="22"/>
    <s v="18–25"/>
    <x v="0"/>
    <x v="3"/>
    <x v="1"/>
    <x v="66"/>
    <s v=" NA"/>
    <x v="0"/>
    <n v="4"/>
    <n v="163206"/>
    <x v="0"/>
    <x v="1"/>
    <n v="0.57999999999999996"/>
    <x v="0"/>
    <x v="4"/>
    <n v="2026"/>
    <x v="0"/>
  </r>
  <r>
    <s v="EMP0703"/>
    <s v="Arjun Krishnan"/>
    <n v="21"/>
    <s v="18–25"/>
    <x v="0"/>
    <x v="2"/>
    <x v="0"/>
    <x v="79"/>
    <s v=" NA"/>
    <x v="0"/>
    <n v="3"/>
    <n v="24094"/>
    <x v="4"/>
    <x v="2"/>
    <n v="5"/>
    <x v="4"/>
    <x v="4"/>
    <n v="2021"/>
    <x v="0"/>
  </r>
  <r>
    <s v="EMP0704"/>
    <s v="Kiran Bose"/>
    <n v="39"/>
    <s v="36–45"/>
    <x v="1"/>
    <x v="5"/>
    <x v="1"/>
    <x v="9"/>
    <s v=" NA"/>
    <x v="0"/>
    <n v="4"/>
    <n v="72624"/>
    <x v="1"/>
    <x v="2"/>
    <n v="4.92"/>
    <x v="0"/>
    <x v="4"/>
    <n v="2021"/>
    <x v="0"/>
  </r>
  <r>
    <s v="EMP0705"/>
    <s v="Rohan Gupta"/>
    <n v="24"/>
    <s v="18–25"/>
    <x v="0"/>
    <x v="1"/>
    <x v="0"/>
    <x v="40"/>
    <s v=" NA"/>
    <x v="0"/>
    <n v="4"/>
    <n v="74576"/>
    <x v="1"/>
    <x v="3"/>
    <n v="1.58"/>
    <x v="4"/>
    <x v="1"/>
    <n v="2025"/>
    <x v="0"/>
  </r>
  <r>
    <s v="EMP0706"/>
    <s v="Kavya Gupta"/>
    <n v="40"/>
    <s v="36–45"/>
    <x v="0"/>
    <x v="1"/>
    <x v="0"/>
    <x v="300"/>
    <s v=" NA"/>
    <x v="0"/>
    <n v="3"/>
    <n v="130312"/>
    <x v="0"/>
    <x v="0"/>
    <n v="11.17"/>
    <x v="0"/>
    <x v="3"/>
    <n v="2015"/>
    <x v="0"/>
  </r>
  <r>
    <s v="EMP0707"/>
    <s v="Aisha Patel"/>
    <n v="26"/>
    <s v="26–35"/>
    <x v="1"/>
    <x v="2"/>
    <x v="0"/>
    <x v="131"/>
    <s v=" NA"/>
    <x v="0"/>
    <n v="2"/>
    <n v="61268"/>
    <x v="1"/>
    <x v="3"/>
    <n v="2.75"/>
    <x v="4"/>
    <x v="5"/>
    <n v="2024"/>
    <x v="0"/>
  </r>
  <r>
    <s v="EMP0708"/>
    <s v="Meera Iyer"/>
    <n v="26"/>
    <s v="26–35"/>
    <x v="1"/>
    <x v="0"/>
    <x v="3"/>
    <x v="31"/>
    <s v=" NA"/>
    <x v="0"/>
    <n v="3"/>
    <n v="20088"/>
    <x v="4"/>
    <x v="1"/>
    <n v="0.67"/>
    <x v="4"/>
    <x v="3"/>
    <n v="2026"/>
    <x v="0"/>
  </r>
  <r>
    <s v="EMP0709"/>
    <s v="Priya Kumar"/>
    <n v="42"/>
    <s v="36–45"/>
    <x v="0"/>
    <x v="1"/>
    <x v="1"/>
    <x v="12"/>
    <s v=" NA"/>
    <x v="0"/>
    <n v="5"/>
    <n v="79194"/>
    <x v="3"/>
    <x v="1"/>
    <n v="0.08"/>
    <x v="1"/>
    <x v="7"/>
    <n v="2026"/>
    <x v="0"/>
  </r>
  <r>
    <s v="EMP0710"/>
    <s v="Priya Shah"/>
    <n v="29"/>
    <s v="26–35"/>
    <x v="0"/>
    <x v="4"/>
    <x v="0"/>
    <x v="105"/>
    <s v=" NA"/>
    <x v="0"/>
    <n v="3"/>
    <n v="21661"/>
    <x v="4"/>
    <x v="3"/>
    <n v="2.25"/>
    <x v="1"/>
    <x v="4"/>
    <n v="2024"/>
    <x v="0"/>
  </r>
  <r>
    <s v="EMP0711"/>
    <s v="Keerthi Patel"/>
    <n v="29"/>
    <s v="26–35"/>
    <x v="0"/>
    <x v="2"/>
    <x v="0"/>
    <x v="301"/>
    <s v="2026-08-04"/>
    <x v="1"/>
    <n v="4"/>
    <n v="35806"/>
    <x v="2"/>
    <x v="1"/>
    <n v="0.33"/>
    <x v="3"/>
    <x v="2"/>
    <n v="2026"/>
    <x v="1"/>
  </r>
  <r>
    <s v="EMP0712"/>
    <s v="Rahul Reddy"/>
    <n v="32"/>
    <s v="26–35"/>
    <x v="0"/>
    <x v="7"/>
    <x v="0"/>
    <x v="282"/>
    <s v=" NA"/>
    <x v="0"/>
    <n v="3"/>
    <n v="61153"/>
    <x v="1"/>
    <x v="0"/>
    <n v="12.67"/>
    <x v="0"/>
    <x v="4"/>
    <n v="2014"/>
    <x v="0"/>
  </r>
  <r>
    <s v="EMP0713"/>
    <s v="Anil Gupta"/>
    <n v="59"/>
    <s v="56+"/>
    <x v="0"/>
    <x v="7"/>
    <x v="0"/>
    <x v="11"/>
    <s v=" NA"/>
    <x v="0"/>
    <n v="5"/>
    <n v="37207"/>
    <x v="2"/>
    <x v="1"/>
    <n v="0.42"/>
    <x v="0"/>
    <x v="6"/>
    <n v="2026"/>
    <x v="0"/>
  </r>
  <r>
    <s v="EMP0714"/>
    <s v="Manoj Joshi"/>
    <n v="45"/>
    <s v="36–45"/>
    <x v="1"/>
    <x v="1"/>
    <x v="1"/>
    <x v="302"/>
    <s v=" NA"/>
    <x v="0"/>
    <n v="4"/>
    <n v="161392"/>
    <x v="0"/>
    <x v="4"/>
    <n v="6.08"/>
    <x v="1"/>
    <x v="4"/>
    <n v="2020"/>
    <x v="0"/>
  </r>
  <r>
    <s v="EMP0715"/>
    <s v="Suresh Patel"/>
    <n v="27"/>
    <s v="26–35"/>
    <x v="1"/>
    <x v="3"/>
    <x v="0"/>
    <x v="36"/>
    <s v=" NA"/>
    <x v="0"/>
    <n v="2"/>
    <n v="85660"/>
    <x v="3"/>
    <x v="4"/>
    <n v="9.08"/>
    <x v="3"/>
    <x v="2"/>
    <n v="2017"/>
    <x v="0"/>
  </r>
  <r>
    <s v="EMP0716"/>
    <s v="Sana Sharma"/>
    <n v="32"/>
    <s v="26–35"/>
    <x v="1"/>
    <x v="3"/>
    <x v="1"/>
    <x v="130"/>
    <s v=" NA"/>
    <x v="0"/>
    <n v="1"/>
    <n v="90055"/>
    <x v="3"/>
    <x v="4"/>
    <n v="9.75"/>
    <x v="4"/>
    <x v="4"/>
    <n v="2017"/>
    <x v="0"/>
  </r>
  <r>
    <s v="EMP0717"/>
    <s v="Kavya Rao"/>
    <n v="32"/>
    <s v="26–35"/>
    <x v="1"/>
    <x v="3"/>
    <x v="0"/>
    <x v="221"/>
    <s v=" NA"/>
    <x v="0"/>
    <n v="4"/>
    <n v="98367"/>
    <x v="3"/>
    <x v="4"/>
    <n v="5.08"/>
    <x v="2"/>
    <x v="0"/>
    <n v="2021"/>
    <x v="0"/>
  </r>
  <r>
    <s v="EMP0718"/>
    <s v="Lakshmi Singh"/>
    <n v="34"/>
    <s v="26–35"/>
    <x v="0"/>
    <x v="2"/>
    <x v="1"/>
    <x v="65"/>
    <s v=" NA"/>
    <x v="0"/>
    <n v="3"/>
    <n v="95771"/>
    <x v="3"/>
    <x v="0"/>
    <n v="12.58"/>
    <x v="3"/>
    <x v="5"/>
    <n v="2014"/>
    <x v="0"/>
  </r>
  <r>
    <s v="EMP0719"/>
    <s v="Arjun Patel"/>
    <n v="61"/>
    <s v="56+"/>
    <x v="0"/>
    <x v="3"/>
    <x v="2"/>
    <x v="11"/>
    <s v=" NA"/>
    <x v="0"/>
    <n v="4"/>
    <n v="40739"/>
    <x v="2"/>
    <x v="1"/>
    <n v="0.42"/>
    <x v="1"/>
    <x v="4"/>
    <n v="2026"/>
    <x v="0"/>
  </r>
  <r>
    <s v="EMP0720"/>
    <s v="Kavya Singh"/>
    <n v="30"/>
    <s v="26–35"/>
    <x v="1"/>
    <x v="3"/>
    <x v="0"/>
    <x v="292"/>
    <s v=" NA"/>
    <x v="0"/>
    <n v="4"/>
    <n v="157637"/>
    <x v="0"/>
    <x v="2"/>
    <n v="3.25"/>
    <x v="0"/>
    <x v="2"/>
    <n v="2023"/>
    <x v="0"/>
  </r>
  <r>
    <s v="EMP0721"/>
    <s v="Suresh Kumar"/>
    <n v="51"/>
    <s v="46–55"/>
    <x v="0"/>
    <x v="1"/>
    <x v="1"/>
    <x v="303"/>
    <s v="2022-12-06"/>
    <x v="1"/>
    <n v="5"/>
    <n v="37565"/>
    <x v="2"/>
    <x v="2"/>
    <n v="4.17"/>
    <x v="4"/>
    <x v="6"/>
    <n v="2022"/>
    <x v="3"/>
  </r>
  <r>
    <s v="EMP0722"/>
    <s v="Priya Bose"/>
    <n v="59"/>
    <s v="56+"/>
    <x v="1"/>
    <x v="3"/>
    <x v="0"/>
    <x v="134"/>
    <s v="2025-12-03"/>
    <x v="1"/>
    <n v="4"/>
    <n v="32196"/>
    <x v="2"/>
    <x v="1"/>
    <n v="0.92"/>
    <x v="1"/>
    <x v="3"/>
    <n v="2025"/>
    <x v="5"/>
  </r>
  <r>
    <s v="EMP0723"/>
    <s v="Anil Jain"/>
    <n v="30"/>
    <s v="26–35"/>
    <x v="1"/>
    <x v="0"/>
    <x v="2"/>
    <x v="267"/>
    <s v="2025-09-09"/>
    <x v="1"/>
    <n v="4"/>
    <n v="28101"/>
    <x v="4"/>
    <x v="1"/>
    <n v="1"/>
    <x v="0"/>
    <x v="6"/>
    <n v="2025"/>
    <x v="5"/>
  </r>
  <r>
    <s v="EMP0724"/>
    <s v="Aditya Reddy"/>
    <n v="24"/>
    <s v="18–25"/>
    <x v="1"/>
    <x v="1"/>
    <x v="0"/>
    <x v="216"/>
    <s v=" NA"/>
    <x v="0"/>
    <n v="4"/>
    <n v="46760"/>
    <x v="2"/>
    <x v="0"/>
    <n v="14.75"/>
    <x v="0"/>
    <x v="3"/>
    <n v="2012"/>
    <x v="0"/>
  </r>
  <r>
    <s v="EMP0725"/>
    <s v="Ananya Bose"/>
    <n v="23"/>
    <s v="18–25"/>
    <x v="1"/>
    <x v="2"/>
    <x v="0"/>
    <x v="304"/>
    <s v="2026-02-13"/>
    <x v="1"/>
    <n v="3"/>
    <n v="165441"/>
    <x v="0"/>
    <x v="1"/>
    <n v="0.67"/>
    <x v="1"/>
    <x v="5"/>
    <n v="2026"/>
    <x v="1"/>
  </r>
  <r>
    <s v="EMP0726"/>
    <s v="Manoj Jain"/>
    <n v="29"/>
    <s v="26–35"/>
    <x v="0"/>
    <x v="7"/>
    <x v="0"/>
    <x v="305"/>
    <s v="2024-10-29"/>
    <x v="1"/>
    <n v="4"/>
    <n v="49940"/>
    <x v="2"/>
    <x v="3"/>
    <n v="2.25"/>
    <x v="0"/>
    <x v="6"/>
    <n v="2024"/>
    <x v="2"/>
  </r>
  <r>
    <s v="EMP0727"/>
    <s v="Kavya Kumar"/>
    <n v="33"/>
    <s v="26–35"/>
    <x v="1"/>
    <x v="5"/>
    <x v="0"/>
    <x v="306"/>
    <s v="2026-03-02"/>
    <x v="1"/>
    <n v="4"/>
    <n v="50580"/>
    <x v="1"/>
    <x v="1"/>
    <n v="0.57999999999999996"/>
    <x v="5"/>
    <x v="3"/>
    <n v="2026"/>
    <x v="1"/>
  </r>
  <r>
    <s v="EMP0728"/>
    <s v="Ishita Krishnan"/>
    <n v="32"/>
    <s v="26–35"/>
    <x v="1"/>
    <x v="3"/>
    <x v="0"/>
    <x v="90"/>
    <s v=" NA"/>
    <x v="0"/>
    <n v="2"/>
    <n v="47216"/>
    <x v="2"/>
    <x v="4"/>
    <n v="7.92"/>
    <x v="0"/>
    <x v="4"/>
    <n v="2018"/>
    <x v="0"/>
  </r>
  <r>
    <s v="EMP0729"/>
    <s v="Meera Kumar"/>
    <n v="42"/>
    <s v="36–45"/>
    <x v="0"/>
    <x v="2"/>
    <x v="0"/>
    <x v="48"/>
    <s v=" NA"/>
    <x v="0"/>
    <n v="4"/>
    <n v="50186"/>
    <x v="1"/>
    <x v="1"/>
    <n v="0.5"/>
    <x v="5"/>
    <x v="0"/>
    <n v="2026"/>
    <x v="0"/>
  </r>
  <r>
    <s v="EMP0730"/>
    <s v="Aditya Gupta"/>
    <n v="32"/>
    <s v="26–35"/>
    <x v="0"/>
    <x v="3"/>
    <x v="0"/>
    <x v="27"/>
    <s v=" NA"/>
    <x v="0"/>
    <n v="3"/>
    <n v="30592"/>
    <x v="2"/>
    <x v="1"/>
    <n v="0.75"/>
    <x v="2"/>
    <x v="2"/>
    <n v="2026"/>
    <x v="0"/>
  </r>
  <r>
    <s v="EMP0731"/>
    <s v="Kiran Sharma"/>
    <n v="39"/>
    <s v="36–45"/>
    <x v="0"/>
    <x v="0"/>
    <x v="1"/>
    <x v="307"/>
    <s v=" NA"/>
    <x v="0"/>
    <n v="4"/>
    <n v="54830"/>
    <x v="1"/>
    <x v="4"/>
    <n v="8"/>
    <x v="3"/>
    <x v="3"/>
    <n v="2018"/>
    <x v="0"/>
  </r>
  <r>
    <s v="EMP0732"/>
    <s v="Divya Patel"/>
    <n v="55"/>
    <s v="46–55"/>
    <x v="1"/>
    <x v="1"/>
    <x v="3"/>
    <x v="10"/>
    <s v=" NA"/>
    <x v="0"/>
    <n v="2"/>
    <n v="94506"/>
    <x v="3"/>
    <x v="4"/>
    <n v="5.33"/>
    <x v="1"/>
    <x v="5"/>
    <n v="2021"/>
    <x v="0"/>
  </r>
  <r>
    <s v="EMP0733"/>
    <s v="Nisha Jain"/>
    <n v="32"/>
    <s v="26–35"/>
    <x v="0"/>
    <x v="7"/>
    <x v="4"/>
    <x v="33"/>
    <s v=" NA"/>
    <x v="0"/>
    <n v="3"/>
    <n v="55361"/>
    <x v="1"/>
    <x v="2"/>
    <n v="4.33"/>
    <x v="3"/>
    <x v="2"/>
    <n v="2022"/>
    <x v="0"/>
  </r>
  <r>
    <s v="EMP0734"/>
    <s v="Lakshmi Das"/>
    <n v="56"/>
    <s v="56+"/>
    <x v="1"/>
    <x v="2"/>
    <x v="0"/>
    <x v="84"/>
    <s v=" NA"/>
    <x v="0"/>
    <n v="4"/>
    <n v="54998"/>
    <x v="1"/>
    <x v="2"/>
    <n v="3.08"/>
    <x v="3"/>
    <x v="3"/>
    <n v="2023"/>
    <x v="0"/>
  </r>
  <r>
    <s v="EMP0735"/>
    <s v="Sanjay Nair"/>
    <n v="26"/>
    <s v="26–35"/>
    <x v="0"/>
    <x v="1"/>
    <x v="0"/>
    <x v="85"/>
    <s v=" NA"/>
    <x v="0"/>
    <n v="5"/>
    <n v="49862"/>
    <x v="2"/>
    <x v="4"/>
    <n v="8.17"/>
    <x v="0"/>
    <x v="0"/>
    <n v="2018"/>
    <x v="0"/>
  </r>
  <r>
    <s v="EMP0736"/>
    <s v="Neha Iyer"/>
    <n v="41"/>
    <s v="36–45"/>
    <x v="0"/>
    <x v="5"/>
    <x v="3"/>
    <x v="48"/>
    <s v=" NA"/>
    <x v="0"/>
    <n v="1"/>
    <n v="88429"/>
    <x v="3"/>
    <x v="1"/>
    <n v="0.5"/>
    <x v="5"/>
    <x v="3"/>
    <n v="2026"/>
    <x v="0"/>
  </r>
  <r>
    <s v="EMP0737"/>
    <s v="Manoj Reddy"/>
    <n v="44"/>
    <s v="36–45"/>
    <x v="0"/>
    <x v="2"/>
    <x v="3"/>
    <x v="308"/>
    <s v="2025-10-28"/>
    <x v="1"/>
    <n v="4"/>
    <n v="19527"/>
    <x v="4"/>
    <x v="1"/>
    <n v="0.92"/>
    <x v="0"/>
    <x v="5"/>
    <n v="2025"/>
    <x v="5"/>
  </r>
  <r>
    <s v="EMP0738"/>
    <s v="Priya  Rao"/>
    <n v="35"/>
    <s v="26–35"/>
    <x v="1"/>
    <x v="0"/>
    <x v="0"/>
    <x v="173"/>
    <s v=" NA"/>
    <x v="0"/>
    <n v="5"/>
    <n v="21956"/>
    <x v="4"/>
    <x v="2"/>
    <n v="4"/>
    <x v="4"/>
    <x v="7"/>
    <n v="2022"/>
    <x v="0"/>
  </r>
  <r>
    <s v="EMP0739"/>
    <s v="Manoj Iyer"/>
    <n v="23"/>
    <s v="18–25"/>
    <x v="0"/>
    <x v="3"/>
    <x v="0"/>
    <x v="309"/>
    <s v="2020-06-21"/>
    <x v="1"/>
    <n v="3"/>
    <n v="89599"/>
    <x v="3"/>
    <x v="0"/>
    <n v="10.17"/>
    <x v="0"/>
    <x v="7"/>
    <n v="2016"/>
    <x v="9"/>
  </r>
  <r>
    <s v="EMP0740"/>
    <s v="Neha Menon"/>
    <n v="32"/>
    <s v="26–35"/>
    <x v="0"/>
    <x v="3"/>
    <x v="0"/>
    <x v="310"/>
    <s v=" NA"/>
    <x v="0"/>
    <n v="3"/>
    <n v="29011"/>
    <x v="4"/>
    <x v="0"/>
    <n v="15.75"/>
    <x v="5"/>
    <x v="4"/>
    <n v="2011"/>
    <x v="0"/>
  </r>
  <r>
    <s v="EMP0741"/>
    <s v="Keerthi Kumar"/>
    <n v="52"/>
    <s v="46–55"/>
    <x v="1"/>
    <x v="7"/>
    <x v="2"/>
    <x v="17"/>
    <s v=" NA"/>
    <x v="0"/>
    <n v="3"/>
    <n v="74803"/>
    <x v="1"/>
    <x v="2"/>
    <n v="3.58"/>
    <x v="2"/>
    <x v="5"/>
    <n v="2023"/>
    <x v="0"/>
  </r>
  <r>
    <s v="EMP0742"/>
    <s v="Naveen Shah"/>
    <n v="40"/>
    <s v="36–45"/>
    <x v="1"/>
    <x v="7"/>
    <x v="2"/>
    <x v="6"/>
    <s v=" NA"/>
    <x v="0"/>
    <n v="1"/>
    <n v="25659"/>
    <x v="4"/>
    <x v="1"/>
    <n v="0.92"/>
    <x v="2"/>
    <x v="4"/>
    <n v="2025"/>
    <x v="0"/>
  </r>
  <r>
    <s v="EMP0743"/>
    <s v="Lakshmi Nair"/>
    <n v="32"/>
    <s v="26–35"/>
    <x v="1"/>
    <x v="4"/>
    <x v="3"/>
    <x v="311"/>
    <s v="2022-04-13"/>
    <x v="1"/>
    <n v="3"/>
    <n v="91675"/>
    <x v="3"/>
    <x v="2"/>
    <n v="4.5"/>
    <x v="1"/>
    <x v="0"/>
    <n v="2022"/>
    <x v="3"/>
  </r>
  <r>
    <s v="EMP0744"/>
    <s v="Aditya Kumar"/>
    <n v="23"/>
    <s v="18–25"/>
    <x v="0"/>
    <x v="5"/>
    <x v="3"/>
    <x v="4"/>
    <s v=" NA"/>
    <x v="0"/>
    <n v="2"/>
    <n v="48310"/>
    <x v="2"/>
    <x v="3"/>
    <n v="1.08"/>
    <x v="5"/>
    <x v="0"/>
    <n v="2025"/>
    <x v="0"/>
  </r>
  <r>
    <s v="EMP0745"/>
    <s v="Arjun Patel"/>
    <n v="22"/>
    <s v="18–25"/>
    <x v="1"/>
    <x v="1"/>
    <x v="1"/>
    <x v="312"/>
    <s v="2017-01-21"/>
    <x v="1"/>
    <n v="4"/>
    <n v="31841"/>
    <x v="2"/>
    <x v="0"/>
    <n v="13.75"/>
    <x v="1"/>
    <x v="4"/>
    <n v="2012"/>
    <x v="7"/>
  </r>
  <r>
    <s v="EMP0746"/>
    <s v="Neha Das"/>
    <n v="27"/>
    <s v="26–35"/>
    <x v="0"/>
    <x v="5"/>
    <x v="2"/>
    <x v="313"/>
    <s v="2026-04-30"/>
    <x v="1"/>
    <n v="3"/>
    <n v="85701"/>
    <x v="3"/>
    <x v="1"/>
    <n v="0.33"/>
    <x v="5"/>
    <x v="4"/>
    <n v="2026"/>
    <x v="1"/>
  </r>
  <r>
    <s v="EMP0747"/>
    <s v="Pooja Das"/>
    <n v="22"/>
    <s v="18–25"/>
    <x v="1"/>
    <x v="2"/>
    <x v="0"/>
    <x v="314"/>
    <s v="2021-05-19"/>
    <x v="1"/>
    <n v="3"/>
    <n v="133888"/>
    <x v="0"/>
    <x v="4"/>
    <n v="5.83"/>
    <x v="2"/>
    <x v="6"/>
    <n v="2020"/>
    <x v="6"/>
  </r>
  <r>
    <s v="EMP0748"/>
    <s v="Sanjay Iyer"/>
    <n v="31"/>
    <s v="26–35"/>
    <x v="0"/>
    <x v="4"/>
    <x v="0"/>
    <x v="27"/>
    <s v=" NA"/>
    <x v="0"/>
    <n v="3"/>
    <n v="47237"/>
    <x v="2"/>
    <x v="1"/>
    <n v="0.75"/>
    <x v="3"/>
    <x v="5"/>
    <n v="2026"/>
    <x v="0"/>
  </r>
  <r>
    <s v="EMP0749"/>
    <s v="Naveen Das"/>
    <n v="32"/>
    <s v="26–35"/>
    <x v="1"/>
    <x v="1"/>
    <x v="0"/>
    <x v="272"/>
    <s v=" NA"/>
    <x v="0"/>
    <n v="3"/>
    <n v="144667"/>
    <x v="0"/>
    <x v="0"/>
    <n v="15"/>
    <x v="5"/>
    <x v="4"/>
    <n v="2011"/>
    <x v="0"/>
  </r>
  <r>
    <s v="EMP0750"/>
    <s v="Aditya Joshi"/>
    <n v="22"/>
    <s v="18–25"/>
    <x v="0"/>
    <x v="0"/>
    <x v="0"/>
    <x v="315"/>
    <s v="2024-08-03"/>
    <x v="1"/>
    <n v="4"/>
    <n v="41550"/>
    <x v="2"/>
    <x v="3"/>
    <n v="2.75"/>
    <x v="1"/>
    <x v="4"/>
    <n v="2024"/>
    <x v="2"/>
  </r>
  <r>
    <s v="EMP0751"/>
    <s v="Priya Iyer"/>
    <n v="30"/>
    <s v="26–35"/>
    <x v="0"/>
    <x v="2"/>
    <x v="1"/>
    <x v="66"/>
    <s v=" NA"/>
    <x v="0"/>
    <n v="4"/>
    <n v="28980"/>
    <x v="4"/>
    <x v="1"/>
    <n v="0.57999999999999996"/>
    <x v="3"/>
    <x v="4"/>
    <n v="2026"/>
    <x v="0"/>
  </r>
  <r>
    <s v="EMP0752"/>
    <s v="Aarav Singh"/>
    <n v="28"/>
    <s v="26–35"/>
    <x v="0"/>
    <x v="2"/>
    <x v="1"/>
    <x v="118"/>
    <s v=" NA"/>
    <x v="0"/>
    <n v="5"/>
    <n v="83666"/>
    <x v="3"/>
    <x v="3"/>
    <n v="2.17"/>
    <x v="2"/>
    <x v="1"/>
    <n v="2024"/>
    <x v="0"/>
  </r>
  <r>
    <s v="EMP0753"/>
    <s v="Aarav Gupta"/>
    <n v="38"/>
    <s v="36–45"/>
    <x v="0"/>
    <x v="1"/>
    <x v="1"/>
    <x v="2"/>
    <s v=" NA"/>
    <x v="0"/>
    <n v="3"/>
    <n v="54120"/>
    <x v="1"/>
    <x v="1"/>
    <n v="0.83"/>
    <x v="2"/>
    <x v="4"/>
    <n v="2025"/>
    <x v="0"/>
  </r>
  <r>
    <s v="EMP0754"/>
    <s v="Arjun Verma"/>
    <n v="34"/>
    <s v="26–35"/>
    <x v="1"/>
    <x v="1"/>
    <x v="1"/>
    <x v="7"/>
    <s v=" NA"/>
    <x v="0"/>
    <n v="4"/>
    <n v="36003"/>
    <x v="2"/>
    <x v="1"/>
    <n v="0.25"/>
    <x v="0"/>
    <x v="7"/>
    <n v="2026"/>
    <x v="0"/>
  </r>
  <r>
    <s v="EMP0755"/>
    <s v="Neha Krishnan"/>
    <n v="42"/>
    <s v="36–45"/>
    <x v="0"/>
    <x v="2"/>
    <x v="2"/>
    <x v="7"/>
    <s v=" NA"/>
    <x v="0"/>
    <n v="3"/>
    <n v="73465"/>
    <x v="1"/>
    <x v="1"/>
    <n v="0.25"/>
    <x v="4"/>
    <x v="2"/>
    <n v="2026"/>
    <x v="0"/>
  </r>
  <r>
    <s v="EMP0756"/>
    <s v="Nisha Nair"/>
    <n v="36"/>
    <s v="36–45"/>
    <x v="1"/>
    <x v="0"/>
    <x v="1"/>
    <x v="316"/>
    <s v="2026-09-19"/>
    <x v="1"/>
    <n v="4"/>
    <n v="86900"/>
    <x v="3"/>
    <x v="1"/>
    <n v="0.17"/>
    <x v="0"/>
    <x v="0"/>
    <n v="2026"/>
    <x v="1"/>
  </r>
  <r>
    <s v="EMP0757"/>
    <s v="Meera Shah"/>
    <n v="35"/>
    <s v="26–35"/>
    <x v="1"/>
    <x v="1"/>
    <x v="4"/>
    <x v="317"/>
    <s v="2024-11-29"/>
    <x v="1"/>
    <n v="3"/>
    <n v="25500"/>
    <x v="4"/>
    <x v="3"/>
    <n v="2.42"/>
    <x v="0"/>
    <x v="7"/>
    <n v="2024"/>
    <x v="2"/>
  </r>
  <r>
    <s v="EMP0758"/>
    <s v="Suresh Kannan"/>
    <n v="43"/>
    <s v="36–45"/>
    <x v="1"/>
    <x v="2"/>
    <x v="0"/>
    <x v="48"/>
    <s v=" NA"/>
    <x v="0"/>
    <n v="3"/>
    <n v="55142"/>
    <x v="1"/>
    <x v="1"/>
    <n v="0.5"/>
    <x v="0"/>
    <x v="2"/>
    <n v="2026"/>
    <x v="0"/>
  </r>
  <r>
    <s v="EMP0759"/>
    <s v="Manoj Verma"/>
    <n v="32"/>
    <s v="26–35"/>
    <x v="1"/>
    <x v="2"/>
    <x v="2"/>
    <x v="80"/>
    <s v=" NA"/>
    <x v="0"/>
    <n v="5"/>
    <n v="161232"/>
    <x v="0"/>
    <x v="3"/>
    <n v="2.5"/>
    <x v="0"/>
    <x v="3"/>
    <n v="2024"/>
    <x v="0"/>
  </r>
  <r>
    <s v="EMP0760"/>
    <s v="Aarav Rao"/>
    <n v="34"/>
    <s v="26–35"/>
    <x v="1"/>
    <x v="1"/>
    <x v="1"/>
    <x v="318"/>
    <s v="2026-06-08"/>
    <x v="1"/>
    <n v="3"/>
    <n v="49651"/>
    <x v="2"/>
    <x v="1"/>
    <n v="0.25"/>
    <x v="1"/>
    <x v="1"/>
    <n v="2026"/>
    <x v="1"/>
  </r>
  <r>
    <s v="EMP0761"/>
    <s v="Rahul Kannan"/>
    <n v="40"/>
    <s v="36–45"/>
    <x v="1"/>
    <x v="2"/>
    <x v="1"/>
    <x v="319"/>
    <s v="2023-11-30"/>
    <x v="1"/>
    <n v="3"/>
    <n v="47582"/>
    <x v="2"/>
    <x v="2"/>
    <n v="3.75"/>
    <x v="2"/>
    <x v="7"/>
    <n v="2022"/>
    <x v="4"/>
  </r>
  <r>
    <s v="EMP0762"/>
    <s v="Kavya Menon"/>
    <n v="21"/>
    <s v="18–25"/>
    <x v="1"/>
    <x v="3"/>
    <x v="2"/>
    <x v="153"/>
    <s v=" NA"/>
    <x v="0"/>
    <n v="3"/>
    <n v="69521"/>
    <x v="1"/>
    <x v="4"/>
    <n v="6.33"/>
    <x v="2"/>
    <x v="0"/>
    <n v="2020"/>
    <x v="0"/>
  </r>
  <r>
    <s v="EMP0763"/>
    <s v="Ishita Iyer"/>
    <n v="56"/>
    <s v="56+"/>
    <x v="1"/>
    <x v="3"/>
    <x v="0"/>
    <x v="12"/>
    <s v=" NA"/>
    <x v="0"/>
    <n v="4"/>
    <n v="135199"/>
    <x v="0"/>
    <x v="1"/>
    <n v="0.08"/>
    <x v="4"/>
    <x v="7"/>
    <n v="2026"/>
    <x v="0"/>
  </r>
  <r>
    <s v="EMP0764"/>
    <s v="Anil Menon"/>
    <n v="43"/>
    <s v="36–45"/>
    <x v="0"/>
    <x v="2"/>
    <x v="0"/>
    <x v="320"/>
    <s v=" NA"/>
    <x v="0"/>
    <n v="3"/>
    <n v="112789"/>
    <x v="0"/>
    <x v="0"/>
    <n v="15.5"/>
    <x v="4"/>
    <x v="5"/>
    <n v="2011"/>
    <x v="0"/>
  </r>
  <r>
    <s v="EMP0765"/>
    <s v="Keerthi Menon"/>
    <n v="27"/>
    <s v="26–35"/>
    <x v="1"/>
    <x v="6"/>
    <x v="0"/>
    <x v="146"/>
    <s v=" NA"/>
    <x v="0"/>
    <n v="4"/>
    <n v="48485"/>
    <x v="2"/>
    <x v="4"/>
    <n v="5.83"/>
    <x v="0"/>
    <x v="7"/>
    <n v="2020"/>
    <x v="0"/>
  </r>
  <r>
    <s v="EMP0766"/>
    <s v="Rahul Shah"/>
    <n v="56"/>
    <s v="56+"/>
    <x v="0"/>
    <x v="2"/>
    <x v="0"/>
    <x v="39"/>
    <s v=" NA"/>
    <x v="0"/>
    <n v="4"/>
    <n v="78095"/>
    <x v="3"/>
    <x v="1"/>
    <n v="0.33"/>
    <x v="3"/>
    <x v="3"/>
    <n v="2026"/>
    <x v="0"/>
  </r>
  <r>
    <s v="EMP0767"/>
    <s v="Ishita Iyer"/>
    <n v="40"/>
    <s v="36–45"/>
    <x v="0"/>
    <x v="0"/>
    <x v="2"/>
    <x v="321"/>
    <s v="2025-11-05"/>
    <x v="1"/>
    <n v="3"/>
    <n v="23493"/>
    <x v="4"/>
    <x v="1"/>
    <n v="1"/>
    <x v="5"/>
    <x v="6"/>
    <n v="2025"/>
    <x v="5"/>
  </r>
  <r>
    <s v="EMP0768"/>
    <s v="Sana Nair"/>
    <n v="32"/>
    <s v="26–35"/>
    <x v="1"/>
    <x v="2"/>
    <x v="3"/>
    <x v="322"/>
    <s v="2024-12-08"/>
    <x v="1"/>
    <n v="3"/>
    <n v="19340"/>
    <x v="4"/>
    <x v="3"/>
    <n v="1.92"/>
    <x v="1"/>
    <x v="0"/>
    <n v="2024"/>
    <x v="2"/>
  </r>
  <r>
    <s v="EMP0769"/>
    <s v="Keerthi Bose"/>
    <n v="38"/>
    <s v="36–45"/>
    <x v="1"/>
    <x v="5"/>
    <x v="1"/>
    <x v="170"/>
    <s v=" NA"/>
    <x v="0"/>
    <n v="3"/>
    <n v="67593"/>
    <x v="1"/>
    <x v="2"/>
    <n v="3.33"/>
    <x v="2"/>
    <x v="4"/>
    <n v="2023"/>
    <x v="0"/>
  </r>
  <r>
    <s v="EMP0770"/>
    <s v="Arjun Kannan"/>
    <n v="37"/>
    <s v="36–45"/>
    <x v="0"/>
    <x v="7"/>
    <x v="1"/>
    <x v="292"/>
    <s v=" NA"/>
    <x v="0"/>
    <n v="3"/>
    <n v="78510"/>
    <x v="3"/>
    <x v="2"/>
    <n v="3.25"/>
    <x v="0"/>
    <x v="0"/>
    <n v="2023"/>
    <x v="0"/>
  </r>
  <r>
    <s v="EMP0771"/>
    <s v="Suresh Krishnan"/>
    <n v="33"/>
    <s v="26–35"/>
    <x v="0"/>
    <x v="1"/>
    <x v="0"/>
    <x v="63"/>
    <s v=" NA"/>
    <x v="0"/>
    <n v="3"/>
    <n v="98839"/>
    <x v="3"/>
    <x v="4"/>
    <n v="8.08"/>
    <x v="0"/>
    <x v="1"/>
    <n v="2018"/>
    <x v="0"/>
  </r>
  <r>
    <s v="EMP0772"/>
    <s v="Arjun Shah"/>
    <n v="54"/>
    <s v="46–55"/>
    <x v="1"/>
    <x v="2"/>
    <x v="1"/>
    <x v="43"/>
    <s v=" NA"/>
    <x v="0"/>
    <n v="4"/>
    <n v="34570"/>
    <x v="2"/>
    <x v="3"/>
    <n v="2.67"/>
    <x v="1"/>
    <x v="6"/>
    <n v="2024"/>
    <x v="0"/>
  </r>
  <r>
    <s v="EMP0773"/>
    <s v="Kavya Singh"/>
    <n v="32"/>
    <s v="26–35"/>
    <x v="1"/>
    <x v="4"/>
    <x v="3"/>
    <x v="323"/>
    <s v="2026-08-03"/>
    <x v="1"/>
    <n v="3"/>
    <n v="63714"/>
    <x v="1"/>
    <x v="1"/>
    <n v="0.25"/>
    <x v="2"/>
    <x v="6"/>
    <n v="2026"/>
    <x v="1"/>
  </r>
  <r>
    <s v="EMP0774"/>
    <s v="Ananya Kannan"/>
    <n v="41"/>
    <s v="36–45"/>
    <x v="0"/>
    <x v="6"/>
    <x v="3"/>
    <x v="102"/>
    <s v=" NA"/>
    <x v="0"/>
    <n v="3"/>
    <n v="26306"/>
    <x v="4"/>
    <x v="1"/>
    <n v="1"/>
    <x v="1"/>
    <x v="2"/>
    <n v="2025"/>
    <x v="0"/>
  </r>
  <r>
    <s v="EMP0775"/>
    <s v="Divya Joshi"/>
    <n v="43"/>
    <s v="36–45"/>
    <x v="0"/>
    <x v="0"/>
    <x v="0"/>
    <x v="324"/>
    <s v="2026-09-01"/>
    <x v="1"/>
    <n v="3"/>
    <n v="79495"/>
    <x v="3"/>
    <x v="1"/>
    <n v="0.08"/>
    <x v="2"/>
    <x v="4"/>
    <n v="2026"/>
    <x v="1"/>
  </r>
  <r>
    <s v="EMP0776"/>
    <s v="Kiran Rao"/>
    <n v="40"/>
    <s v="36–45"/>
    <x v="0"/>
    <x v="1"/>
    <x v="2"/>
    <x v="131"/>
    <s v=" NA"/>
    <x v="0"/>
    <n v="4"/>
    <n v="32143"/>
    <x v="2"/>
    <x v="3"/>
    <n v="2.75"/>
    <x v="2"/>
    <x v="5"/>
    <n v="2024"/>
    <x v="0"/>
  </r>
  <r>
    <s v="EMP0777"/>
    <s v="Vikram Kannan"/>
    <n v="24"/>
    <s v="18–25"/>
    <x v="1"/>
    <x v="1"/>
    <x v="0"/>
    <x v="7"/>
    <s v=" NA"/>
    <x v="0"/>
    <n v="4"/>
    <n v="29478"/>
    <x v="4"/>
    <x v="1"/>
    <n v="0.25"/>
    <x v="2"/>
    <x v="2"/>
    <n v="2026"/>
    <x v="0"/>
  </r>
  <r>
    <s v="EMP0778"/>
    <s v="Rahul Patel"/>
    <n v="23"/>
    <s v="18–25"/>
    <x v="1"/>
    <x v="0"/>
    <x v="0"/>
    <x v="29"/>
    <s v=" NA"/>
    <x v="0"/>
    <n v="4"/>
    <n v="65131"/>
    <x v="1"/>
    <x v="3"/>
    <n v="1.33"/>
    <x v="0"/>
    <x v="5"/>
    <n v="2025"/>
    <x v="0"/>
  </r>
  <r>
    <s v="EMP0779"/>
    <s v="Rahul Jain"/>
    <n v="40"/>
    <s v="36–45"/>
    <x v="0"/>
    <x v="2"/>
    <x v="3"/>
    <x v="187"/>
    <s v="2022-04-16"/>
    <x v="1"/>
    <n v="3"/>
    <n v="86451"/>
    <x v="3"/>
    <x v="2"/>
    <n v="4.42"/>
    <x v="2"/>
    <x v="0"/>
    <n v="2022"/>
    <x v="3"/>
  </r>
  <r>
    <s v="EMP0780"/>
    <s v="Ishita Reddy"/>
    <n v="34"/>
    <s v="26–35"/>
    <x v="1"/>
    <x v="2"/>
    <x v="1"/>
    <x v="53"/>
    <s v=" NA"/>
    <x v="0"/>
    <n v="2"/>
    <n v="55132"/>
    <x v="1"/>
    <x v="3"/>
    <n v="2.42"/>
    <x v="5"/>
    <x v="7"/>
    <n v="2024"/>
    <x v="0"/>
  </r>
  <r>
    <s v="EMP0781"/>
    <s v="Manoj Shah"/>
    <n v="43"/>
    <s v="36–45"/>
    <x v="0"/>
    <x v="2"/>
    <x v="0"/>
    <x v="2"/>
    <s v=" NA"/>
    <x v="0"/>
    <n v="2"/>
    <n v="35945"/>
    <x v="2"/>
    <x v="1"/>
    <n v="0.83"/>
    <x v="2"/>
    <x v="1"/>
    <n v="2025"/>
    <x v="0"/>
  </r>
  <r>
    <s v="EMP0782"/>
    <s v="Vikram Patel"/>
    <n v="49"/>
    <s v="46–55"/>
    <x v="1"/>
    <x v="0"/>
    <x v="1"/>
    <x v="96"/>
    <s v=" NA"/>
    <x v="0"/>
    <n v="3"/>
    <n v="43586"/>
    <x v="2"/>
    <x v="0"/>
    <n v="14.42"/>
    <x v="1"/>
    <x v="2"/>
    <n v="2012"/>
    <x v="0"/>
  </r>
  <r>
    <s v="EMP0783"/>
    <s v="Aarav Das"/>
    <n v="48"/>
    <s v="46–55"/>
    <x v="0"/>
    <x v="0"/>
    <x v="0"/>
    <x v="53"/>
    <s v=" NA"/>
    <x v="0"/>
    <n v="3"/>
    <n v="69365"/>
    <x v="1"/>
    <x v="3"/>
    <n v="2.42"/>
    <x v="2"/>
    <x v="4"/>
    <n v="2024"/>
    <x v="0"/>
  </r>
  <r>
    <s v="EMP0784"/>
    <s v="Sana Sharma"/>
    <n v="28"/>
    <s v="26–35"/>
    <x v="1"/>
    <x v="1"/>
    <x v="0"/>
    <x v="48"/>
    <s v=" NA"/>
    <x v="0"/>
    <n v="4"/>
    <n v="63029"/>
    <x v="1"/>
    <x v="1"/>
    <n v="0.5"/>
    <x v="0"/>
    <x v="2"/>
    <n v="2026"/>
    <x v="0"/>
  </r>
  <r>
    <s v="EMP0785"/>
    <s v="Priya Shah"/>
    <n v="25"/>
    <s v="18–25"/>
    <x v="0"/>
    <x v="3"/>
    <x v="0"/>
    <x v="165"/>
    <s v=" NA"/>
    <x v="0"/>
    <n v="4"/>
    <n v="46618"/>
    <x v="2"/>
    <x v="4"/>
    <n v="8.58"/>
    <x v="0"/>
    <x v="6"/>
    <n v="2018"/>
    <x v="0"/>
  </r>
  <r>
    <s v="EMP0786"/>
    <s v="Aditya Sharma"/>
    <n v="36"/>
    <s v="36–45"/>
    <x v="0"/>
    <x v="0"/>
    <x v="0"/>
    <x v="31"/>
    <s v=" NA"/>
    <x v="0"/>
    <n v="3"/>
    <n v="83629"/>
    <x v="3"/>
    <x v="1"/>
    <n v="0.67"/>
    <x v="0"/>
    <x v="5"/>
    <n v="2026"/>
    <x v="0"/>
  </r>
  <r>
    <s v="EMP0787"/>
    <s v="Kiran Joshi"/>
    <n v="39"/>
    <s v="36–45"/>
    <x v="0"/>
    <x v="2"/>
    <x v="1"/>
    <x v="170"/>
    <s v=" NA"/>
    <x v="0"/>
    <n v="4"/>
    <n v="114106"/>
    <x v="0"/>
    <x v="2"/>
    <n v="3.33"/>
    <x v="1"/>
    <x v="0"/>
    <n v="2023"/>
    <x v="0"/>
  </r>
  <r>
    <s v="EMP0788"/>
    <s v="Priya Krishnan"/>
    <n v="33"/>
    <s v="26–35"/>
    <x v="0"/>
    <x v="2"/>
    <x v="0"/>
    <x v="46"/>
    <s v=" NA"/>
    <x v="0"/>
    <n v="3"/>
    <n v="33172"/>
    <x v="2"/>
    <x v="3"/>
    <n v="1.5"/>
    <x v="0"/>
    <x v="2"/>
    <n v="2025"/>
    <x v="0"/>
  </r>
  <r>
    <s v="EMP0789"/>
    <s v="Aisha Verma"/>
    <n v="33"/>
    <s v="26–35"/>
    <x v="1"/>
    <x v="3"/>
    <x v="0"/>
    <x v="85"/>
    <s v=" NA"/>
    <x v="0"/>
    <n v="4"/>
    <n v="85726"/>
    <x v="3"/>
    <x v="4"/>
    <n v="8.17"/>
    <x v="3"/>
    <x v="7"/>
    <n v="2018"/>
    <x v="0"/>
  </r>
  <r>
    <s v="EMP0790"/>
    <s v="Arjun Reddy"/>
    <n v="23"/>
    <s v="18–25"/>
    <x v="0"/>
    <x v="1"/>
    <x v="3"/>
    <x v="325"/>
    <s v="2026-09-02"/>
    <x v="1"/>
    <n v="4"/>
    <n v="28583"/>
    <x v="4"/>
    <x v="1"/>
    <n v="0.42"/>
    <x v="0"/>
    <x v="5"/>
    <n v="2026"/>
    <x v="1"/>
  </r>
  <r>
    <s v="EMP0791"/>
    <s v="Manoj Jain"/>
    <n v="29"/>
    <s v="26–35"/>
    <x v="1"/>
    <x v="3"/>
    <x v="3"/>
    <x v="118"/>
    <s v=" NA"/>
    <x v="0"/>
    <n v="3"/>
    <n v="71636"/>
    <x v="1"/>
    <x v="3"/>
    <n v="2.17"/>
    <x v="5"/>
    <x v="3"/>
    <n v="2024"/>
    <x v="0"/>
  </r>
  <r>
    <s v="EMP0792"/>
    <s v="Sanjay Kumar"/>
    <n v="26"/>
    <s v="26–35"/>
    <x v="1"/>
    <x v="7"/>
    <x v="1"/>
    <x v="326"/>
    <s v=" NA"/>
    <x v="0"/>
    <n v="3"/>
    <n v="89518"/>
    <x v="3"/>
    <x v="4"/>
    <n v="5.17"/>
    <x v="3"/>
    <x v="2"/>
    <n v="2021"/>
    <x v="0"/>
  </r>
  <r>
    <s v="EMP0793"/>
    <s v="Ishita Menon"/>
    <n v="35"/>
    <s v="26–35"/>
    <x v="1"/>
    <x v="7"/>
    <x v="3"/>
    <x v="11"/>
    <s v=" NA"/>
    <x v="0"/>
    <n v="4"/>
    <n v="48455"/>
    <x v="2"/>
    <x v="1"/>
    <n v="0.42"/>
    <x v="0"/>
    <x v="0"/>
    <n v="2026"/>
    <x v="0"/>
  </r>
  <r>
    <s v="EMP0794"/>
    <s v="Suresh Menon"/>
    <n v="27"/>
    <s v="26–35"/>
    <x v="0"/>
    <x v="6"/>
    <x v="0"/>
    <x v="111"/>
    <s v=" NA"/>
    <x v="0"/>
    <n v="3"/>
    <n v="37836"/>
    <x v="2"/>
    <x v="3"/>
    <n v="2.92"/>
    <x v="3"/>
    <x v="1"/>
    <n v="2023"/>
    <x v="0"/>
  </r>
  <r>
    <s v="EMP0795"/>
    <s v="Aisha Gupta"/>
    <n v="43"/>
    <s v="36–45"/>
    <x v="1"/>
    <x v="2"/>
    <x v="1"/>
    <x v="34"/>
    <s v=" NA"/>
    <x v="0"/>
    <n v="5"/>
    <n v="24299"/>
    <x v="4"/>
    <x v="2"/>
    <n v="3.5"/>
    <x v="1"/>
    <x v="2"/>
    <n v="2023"/>
    <x v="0"/>
  </r>
  <r>
    <s v="EMP0796"/>
    <s v="Keerthi Shah"/>
    <n v="28"/>
    <s v="26–35"/>
    <x v="1"/>
    <x v="1"/>
    <x v="4"/>
    <x v="327"/>
    <s v="2023-10-15"/>
    <x v="1"/>
    <n v="4"/>
    <n v="51862"/>
    <x v="1"/>
    <x v="3"/>
    <n v="3"/>
    <x v="3"/>
    <x v="1"/>
    <n v="2023"/>
    <x v="4"/>
  </r>
  <r>
    <s v="EMP0797"/>
    <s v="Ananya Reddy"/>
    <n v="28"/>
    <s v="26–35"/>
    <x v="0"/>
    <x v="3"/>
    <x v="1"/>
    <x v="328"/>
    <s v=" NA"/>
    <x v="0"/>
    <n v="5"/>
    <n v="163543"/>
    <x v="0"/>
    <x v="0"/>
    <n v="10.5"/>
    <x v="4"/>
    <x v="4"/>
    <n v="2016"/>
    <x v="0"/>
  </r>
  <r>
    <s v="EMP0798"/>
    <s v="Aisha Jain"/>
    <n v="54"/>
    <s v="46–55"/>
    <x v="1"/>
    <x v="2"/>
    <x v="1"/>
    <x v="9"/>
    <s v=" NA"/>
    <x v="0"/>
    <n v="4"/>
    <n v="51855"/>
    <x v="1"/>
    <x v="2"/>
    <n v="4.92"/>
    <x v="2"/>
    <x v="0"/>
    <n v="2021"/>
    <x v="0"/>
  </r>
  <r>
    <s v="EMP0799"/>
    <s v="Keerthi Kannan"/>
    <n v="47"/>
    <s v="46–55"/>
    <x v="0"/>
    <x v="1"/>
    <x v="1"/>
    <x v="2"/>
    <s v=" NA"/>
    <x v="0"/>
    <n v="5"/>
    <n v="71467"/>
    <x v="1"/>
    <x v="1"/>
    <n v="0.83"/>
    <x v="2"/>
    <x v="3"/>
    <n v="2025"/>
    <x v="0"/>
  </r>
  <r>
    <s v="EMP0800"/>
    <s v="Arjun Bose"/>
    <n v="33"/>
    <s v="26–35"/>
    <x v="1"/>
    <x v="0"/>
    <x v="0"/>
    <x v="123"/>
    <s v=" NA"/>
    <x v="0"/>
    <n v="3"/>
    <n v="54167"/>
    <x v="1"/>
    <x v="2"/>
    <n v="4.75"/>
    <x v="0"/>
    <x v="3"/>
    <n v="2022"/>
    <x v="0"/>
  </r>
  <r>
    <s v="EMP0801"/>
    <s v="Manoj Shah"/>
    <n v="40"/>
    <s v="36–45"/>
    <x v="1"/>
    <x v="1"/>
    <x v="0"/>
    <x v="329"/>
    <s v="2023-06-20"/>
    <x v="1"/>
    <n v="4"/>
    <n v="28536"/>
    <x v="4"/>
    <x v="2"/>
    <n v="3.58"/>
    <x v="1"/>
    <x v="2"/>
    <n v="2023"/>
    <x v="4"/>
  </r>
  <r>
    <s v="EMP0802"/>
    <s v="Nisha Gupta"/>
    <n v="54"/>
    <s v="46–55"/>
    <x v="0"/>
    <x v="2"/>
    <x v="3"/>
    <x v="198"/>
    <s v=" NA"/>
    <x v="0"/>
    <n v="5"/>
    <n v="33619"/>
    <x v="2"/>
    <x v="4"/>
    <n v="9.5"/>
    <x v="1"/>
    <x v="2"/>
    <n v="2017"/>
    <x v="0"/>
  </r>
  <r>
    <s v="EMP0803"/>
    <s v="Rahul Joshi"/>
    <n v="41"/>
    <s v="36–45"/>
    <x v="1"/>
    <x v="0"/>
    <x v="0"/>
    <x v="79"/>
    <s v=" NA"/>
    <x v="0"/>
    <n v="2"/>
    <n v="126070"/>
    <x v="0"/>
    <x v="2"/>
    <n v="5"/>
    <x v="2"/>
    <x v="2"/>
    <n v="2021"/>
    <x v="0"/>
  </r>
  <r>
    <s v="EMP0804"/>
    <s v="Ananya Shah"/>
    <n v="34"/>
    <s v="26–35"/>
    <x v="1"/>
    <x v="2"/>
    <x v="2"/>
    <x v="120"/>
    <s v=" NA"/>
    <x v="0"/>
    <n v="3"/>
    <n v="91378"/>
    <x v="3"/>
    <x v="3"/>
    <n v="1.83"/>
    <x v="1"/>
    <x v="5"/>
    <n v="2024"/>
    <x v="0"/>
  </r>
  <r>
    <s v="EMP0805"/>
    <s v="Anil  Verma"/>
    <n v="36"/>
    <s v="36–45"/>
    <x v="0"/>
    <x v="1"/>
    <x v="0"/>
    <x v="330"/>
    <s v="2019-03-03"/>
    <x v="1"/>
    <n v="3"/>
    <n v="98425"/>
    <x v="3"/>
    <x v="0"/>
    <n v="12.42"/>
    <x v="0"/>
    <x v="3"/>
    <n v="2014"/>
    <x v="10"/>
  </r>
  <r>
    <s v="EMP0806"/>
    <s v="Arjun Singh"/>
    <n v="43"/>
    <s v="36–45"/>
    <x v="0"/>
    <x v="0"/>
    <x v="1"/>
    <x v="31"/>
    <s v=" NA"/>
    <x v="0"/>
    <n v="5"/>
    <n v="49904"/>
    <x v="2"/>
    <x v="1"/>
    <n v="0.67"/>
    <x v="0"/>
    <x v="2"/>
    <n v="2026"/>
    <x v="0"/>
  </r>
  <r>
    <s v="EMP0807"/>
    <s v="Naveen Nair"/>
    <n v="21"/>
    <s v="18–25"/>
    <x v="1"/>
    <x v="2"/>
    <x v="0"/>
    <x v="331"/>
    <s v="2022-09-03"/>
    <x v="1"/>
    <n v="4"/>
    <n v="99683"/>
    <x v="3"/>
    <x v="2"/>
    <n v="4.42"/>
    <x v="1"/>
    <x v="0"/>
    <n v="2022"/>
    <x v="3"/>
  </r>
  <r>
    <s v="EMP0808"/>
    <s v="Manoj Reddy"/>
    <n v="23"/>
    <s v="18–25"/>
    <x v="0"/>
    <x v="6"/>
    <x v="1"/>
    <x v="7"/>
    <s v=" NA"/>
    <x v="0"/>
    <n v="5"/>
    <n v="32651"/>
    <x v="2"/>
    <x v="1"/>
    <n v="0.25"/>
    <x v="4"/>
    <x v="5"/>
    <n v="2026"/>
    <x v="0"/>
  </r>
  <r>
    <s v="EMP0809"/>
    <s v="Ananya Verma"/>
    <n v="26"/>
    <s v="26–35"/>
    <x v="0"/>
    <x v="5"/>
    <x v="2"/>
    <x v="80"/>
    <s v=" NA"/>
    <x v="0"/>
    <n v="2"/>
    <n v="30880"/>
    <x v="2"/>
    <x v="3"/>
    <n v="2.5"/>
    <x v="5"/>
    <x v="0"/>
    <n v="2024"/>
    <x v="0"/>
  </r>
  <r>
    <s v="EMP0810"/>
    <s v="Nisha Shah"/>
    <n v="44"/>
    <s v="36–45"/>
    <x v="1"/>
    <x v="2"/>
    <x v="1"/>
    <x v="55"/>
    <s v=" NA"/>
    <x v="0"/>
    <n v="2"/>
    <n v="45062"/>
    <x v="2"/>
    <x v="0"/>
    <n v="15.83"/>
    <x v="5"/>
    <x v="0"/>
    <n v="2010"/>
    <x v="0"/>
  </r>
  <r>
    <s v="EMP0811"/>
    <s v="Divya Kannan"/>
    <n v="24"/>
    <s v="18–25"/>
    <x v="0"/>
    <x v="5"/>
    <x v="1"/>
    <x v="42"/>
    <s v=" NA"/>
    <x v="0"/>
    <n v="4"/>
    <n v="109861"/>
    <x v="0"/>
    <x v="1"/>
    <n v="0.17"/>
    <x v="1"/>
    <x v="4"/>
    <n v="2026"/>
    <x v="0"/>
  </r>
  <r>
    <s v="EMP0812"/>
    <s v="Kiran Rao"/>
    <n v="35"/>
    <s v="26–35"/>
    <x v="1"/>
    <x v="0"/>
    <x v="2"/>
    <x v="17"/>
    <s v=" NA"/>
    <x v="0"/>
    <n v="4"/>
    <n v="69418"/>
    <x v="1"/>
    <x v="2"/>
    <n v="3.58"/>
    <x v="5"/>
    <x v="1"/>
    <n v="2023"/>
    <x v="0"/>
  </r>
  <r>
    <s v="EMP0813"/>
    <s v="Sana Singh"/>
    <n v="35"/>
    <s v="26–35"/>
    <x v="0"/>
    <x v="6"/>
    <x v="0"/>
    <x v="84"/>
    <s v=" NA"/>
    <x v="0"/>
    <n v="3"/>
    <n v="69337"/>
    <x v="1"/>
    <x v="2"/>
    <n v="3.08"/>
    <x v="5"/>
    <x v="0"/>
    <n v="2023"/>
    <x v="0"/>
  </r>
  <r>
    <s v="EMP0814"/>
    <s v="Ananya Jain"/>
    <n v="22"/>
    <s v="18–25"/>
    <x v="0"/>
    <x v="5"/>
    <x v="1"/>
    <x v="310"/>
    <s v=" NA"/>
    <x v="0"/>
    <n v="3"/>
    <n v="45351"/>
    <x v="2"/>
    <x v="0"/>
    <n v="15.75"/>
    <x v="0"/>
    <x v="7"/>
    <n v="2011"/>
    <x v="0"/>
  </r>
  <r>
    <s v="EMP0815"/>
    <s v="Divya Kannan"/>
    <n v="26"/>
    <s v="26–35"/>
    <x v="0"/>
    <x v="2"/>
    <x v="3"/>
    <x v="69"/>
    <s v=" NA"/>
    <x v="0"/>
    <n v="4"/>
    <n v="111819"/>
    <x v="0"/>
    <x v="4"/>
    <n v="5.42"/>
    <x v="3"/>
    <x v="6"/>
    <n v="2021"/>
    <x v="0"/>
  </r>
  <r>
    <s v="EMP0816"/>
    <s v="Aisha Patel"/>
    <n v="37"/>
    <s v="36–45"/>
    <x v="1"/>
    <x v="1"/>
    <x v="0"/>
    <x v="4"/>
    <s v=" NA"/>
    <x v="0"/>
    <n v="3"/>
    <n v="40778"/>
    <x v="2"/>
    <x v="3"/>
    <n v="1.08"/>
    <x v="2"/>
    <x v="6"/>
    <n v="2025"/>
    <x v="0"/>
  </r>
  <r>
    <s v="EMP0817"/>
    <s v="Meera Shah"/>
    <n v="42"/>
    <s v="36–45"/>
    <x v="0"/>
    <x v="6"/>
    <x v="0"/>
    <x v="29"/>
    <s v=" NA"/>
    <x v="0"/>
    <n v="4"/>
    <n v="66981"/>
    <x v="1"/>
    <x v="3"/>
    <n v="1.33"/>
    <x v="3"/>
    <x v="4"/>
    <n v="2025"/>
    <x v="0"/>
  </r>
  <r>
    <s v="EMP0818"/>
    <s v="Lakshmi Das"/>
    <n v="29"/>
    <s v="26–35"/>
    <x v="1"/>
    <x v="1"/>
    <x v="0"/>
    <x v="5"/>
    <s v=" NA"/>
    <x v="0"/>
    <n v="4"/>
    <n v="38191"/>
    <x v="2"/>
    <x v="2"/>
    <n v="4.83"/>
    <x v="0"/>
    <x v="7"/>
    <n v="2021"/>
    <x v="0"/>
  </r>
  <r>
    <s v="EMP0819"/>
    <s v="Rahul Gupta"/>
    <n v="34"/>
    <s v="26–35"/>
    <x v="0"/>
    <x v="2"/>
    <x v="1"/>
    <x v="59"/>
    <s v=" NA"/>
    <x v="0"/>
    <n v="4"/>
    <n v="61461"/>
    <x v="1"/>
    <x v="3"/>
    <n v="1.92"/>
    <x v="2"/>
    <x v="7"/>
    <n v="2024"/>
    <x v="0"/>
  </r>
  <r>
    <s v="EMP0820"/>
    <s v="Aisha Sharma"/>
    <n v="29"/>
    <s v="26–35"/>
    <x v="0"/>
    <x v="3"/>
    <x v="1"/>
    <x v="183"/>
    <s v=" NA"/>
    <x v="0"/>
    <n v="5"/>
    <n v="122546"/>
    <x v="0"/>
    <x v="3"/>
    <n v="1.25"/>
    <x v="2"/>
    <x v="6"/>
    <n v="2025"/>
    <x v="0"/>
  </r>
  <r>
    <s v="EMP0821"/>
    <s v="Neha Nair"/>
    <n v="30"/>
    <s v="26–35"/>
    <x v="1"/>
    <x v="3"/>
    <x v="1"/>
    <x v="137"/>
    <s v=" NA"/>
    <x v="0"/>
    <n v="5"/>
    <n v="51479"/>
    <x v="1"/>
    <x v="2"/>
    <n v="4.58"/>
    <x v="0"/>
    <x v="1"/>
    <n v="2022"/>
    <x v="0"/>
  </r>
  <r>
    <s v="EMP0822"/>
    <s v="Lakshmi Kannan"/>
    <n v="25"/>
    <s v="18–25"/>
    <x v="1"/>
    <x v="2"/>
    <x v="1"/>
    <x v="332"/>
    <s v="2016-05-21"/>
    <x v="1"/>
    <n v="3"/>
    <n v="39665"/>
    <x v="2"/>
    <x v="0"/>
    <n v="15.75"/>
    <x v="0"/>
    <x v="3"/>
    <n v="2010"/>
    <x v="8"/>
  </r>
  <r>
    <s v="EMP0823"/>
    <s v="Naveen Menon"/>
    <n v="44"/>
    <s v="36–45"/>
    <x v="1"/>
    <x v="2"/>
    <x v="0"/>
    <x v="25"/>
    <s v=" NA"/>
    <x v="0"/>
    <n v="3"/>
    <n v="64935"/>
    <x v="1"/>
    <x v="0"/>
    <n v="12.92"/>
    <x v="1"/>
    <x v="5"/>
    <n v="2013"/>
    <x v="0"/>
  </r>
  <r>
    <s v="EMP0824"/>
    <s v="Nisha Joshi"/>
    <n v="38"/>
    <s v="36–45"/>
    <x v="0"/>
    <x v="1"/>
    <x v="2"/>
    <x v="333"/>
    <s v="2018-12-25"/>
    <x v="1"/>
    <n v="4"/>
    <n v="73354"/>
    <x v="1"/>
    <x v="0"/>
    <n v="13"/>
    <x v="1"/>
    <x v="5"/>
    <n v="2013"/>
    <x v="11"/>
  </r>
  <r>
    <s v="EMP0825"/>
    <s v="Naveen Jain"/>
    <n v="44"/>
    <s v="36–45"/>
    <x v="0"/>
    <x v="6"/>
    <x v="0"/>
    <x v="334"/>
    <s v="2020-01-06"/>
    <x v="1"/>
    <n v="4"/>
    <n v="145749"/>
    <x v="0"/>
    <x v="0"/>
    <n v="10.5"/>
    <x v="1"/>
    <x v="3"/>
    <n v="2016"/>
    <x v="9"/>
  </r>
  <r>
    <s v="EMP0826"/>
    <s v="Neha Patel"/>
    <n v="26"/>
    <s v="26–35"/>
    <x v="1"/>
    <x v="5"/>
    <x v="1"/>
    <x v="166"/>
    <s v=" NA"/>
    <x v="0"/>
    <n v="4"/>
    <n v="37087"/>
    <x v="2"/>
    <x v="0"/>
    <n v="12.83"/>
    <x v="2"/>
    <x v="0"/>
    <n v="2013"/>
    <x v="0"/>
  </r>
  <r>
    <s v="EMP0827"/>
    <s v="Kavya Krishnan"/>
    <n v="40"/>
    <s v="36–45"/>
    <x v="1"/>
    <x v="2"/>
    <x v="0"/>
    <x v="79"/>
    <s v=" NA"/>
    <x v="0"/>
    <n v="4"/>
    <n v="33120"/>
    <x v="2"/>
    <x v="2"/>
    <n v="5"/>
    <x v="3"/>
    <x v="2"/>
    <n v="2021"/>
    <x v="0"/>
  </r>
  <r>
    <s v="EMP0828"/>
    <s v="Neha Shah"/>
    <n v="36"/>
    <s v="36–45"/>
    <x v="0"/>
    <x v="7"/>
    <x v="3"/>
    <x v="335"/>
    <s v="2024-12-03"/>
    <x v="1"/>
    <n v="1"/>
    <n v="110880"/>
    <x v="0"/>
    <x v="3"/>
    <n v="2.42"/>
    <x v="0"/>
    <x v="0"/>
    <n v="2024"/>
    <x v="2"/>
  </r>
  <r>
    <s v="EMP0829"/>
    <s v="Keerthi Sharma"/>
    <n v="24"/>
    <s v="18–25"/>
    <x v="0"/>
    <x v="7"/>
    <x v="0"/>
    <x v="64"/>
    <s v=" NA"/>
    <x v="0"/>
    <n v="3"/>
    <n v="97933"/>
    <x v="3"/>
    <x v="2"/>
    <n v="3.67"/>
    <x v="3"/>
    <x v="2"/>
    <n v="2023"/>
    <x v="0"/>
  </r>
  <r>
    <s v="EMP0830"/>
    <s v="Suresh Krishnan"/>
    <n v="40"/>
    <s v="36–45"/>
    <x v="0"/>
    <x v="3"/>
    <x v="0"/>
    <x v="336"/>
    <s v="2025-10-29"/>
    <x v="1"/>
    <n v="3"/>
    <n v="26745"/>
    <x v="4"/>
    <x v="3"/>
    <n v="1.17"/>
    <x v="3"/>
    <x v="3"/>
    <n v="2025"/>
    <x v="5"/>
  </r>
  <r>
    <s v="EMP0831"/>
    <s v="Keerthi Menon"/>
    <n v="33"/>
    <s v="26–35"/>
    <x v="1"/>
    <x v="3"/>
    <x v="0"/>
    <x v="86"/>
    <s v="2026-04-19"/>
    <x v="1"/>
    <n v="2"/>
    <n v="21399"/>
    <x v="4"/>
    <x v="1"/>
    <n v="0.67"/>
    <x v="3"/>
    <x v="3"/>
    <n v="2026"/>
    <x v="1"/>
  </r>
  <r>
    <s v="EMP0832"/>
    <s v="Rohan Kannan"/>
    <n v="25"/>
    <s v="18–25"/>
    <x v="1"/>
    <x v="6"/>
    <x v="1"/>
    <x v="271"/>
    <s v=" NA"/>
    <x v="0"/>
    <n v="2"/>
    <n v="71313"/>
    <x v="1"/>
    <x v="0"/>
    <n v="15.17"/>
    <x v="1"/>
    <x v="1"/>
    <n v="2011"/>
    <x v="0"/>
  </r>
  <r>
    <s v="EMP0833"/>
    <s v="Ananya Bose"/>
    <n v="62"/>
    <s v="56+"/>
    <x v="1"/>
    <x v="3"/>
    <x v="3"/>
    <x v="337"/>
    <s v=" NA"/>
    <x v="0"/>
    <n v="5"/>
    <n v="63673"/>
    <x v="1"/>
    <x v="0"/>
    <n v="13.83"/>
    <x v="2"/>
    <x v="5"/>
    <n v="2012"/>
    <x v="0"/>
  </r>
  <r>
    <s v="EMP0834"/>
    <s v="Ananya Joshi"/>
    <n v="23"/>
    <s v="18–25"/>
    <x v="0"/>
    <x v="0"/>
    <x v="1"/>
    <x v="292"/>
    <s v=" NA"/>
    <x v="0"/>
    <n v="3"/>
    <n v="44790"/>
    <x v="2"/>
    <x v="2"/>
    <n v="3.25"/>
    <x v="1"/>
    <x v="6"/>
    <n v="2023"/>
    <x v="0"/>
  </r>
  <r>
    <s v="EMP0835"/>
    <s v="Keerthi Sharma"/>
    <n v="32"/>
    <s v="26–35"/>
    <x v="0"/>
    <x v="4"/>
    <x v="0"/>
    <x v="48"/>
    <s v=" NA"/>
    <x v="0"/>
    <n v="3"/>
    <n v="27114"/>
    <x v="4"/>
    <x v="1"/>
    <n v="0.5"/>
    <x v="5"/>
    <x v="7"/>
    <n v="2026"/>
    <x v="0"/>
  </r>
  <r>
    <s v="EMP0836"/>
    <s v="Suresh Nair"/>
    <n v="33"/>
    <s v="26–35"/>
    <x v="0"/>
    <x v="4"/>
    <x v="1"/>
    <x v="122"/>
    <s v=" NA"/>
    <x v="0"/>
    <n v="4"/>
    <n v="45287"/>
    <x v="2"/>
    <x v="3"/>
    <n v="1.75"/>
    <x v="1"/>
    <x v="4"/>
    <n v="2025"/>
    <x v="0"/>
  </r>
  <r>
    <s v="EMP0837"/>
    <s v="Priya Shah"/>
    <n v="43"/>
    <s v="36–45"/>
    <x v="1"/>
    <x v="5"/>
    <x v="4"/>
    <x v="338"/>
    <s v="2026-05-18"/>
    <x v="1"/>
    <n v="4"/>
    <n v="19596"/>
    <x v="4"/>
    <x v="1"/>
    <n v="0.25"/>
    <x v="2"/>
    <x v="4"/>
    <n v="2026"/>
    <x v="1"/>
  </r>
  <r>
    <s v="EMP0838"/>
    <s v="Ishita Kannan"/>
    <n v="46"/>
    <s v="46–55"/>
    <x v="1"/>
    <x v="0"/>
    <x v="3"/>
    <x v="10"/>
    <s v=" NA"/>
    <x v="0"/>
    <n v="4"/>
    <n v="151006"/>
    <x v="0"/>
    <x v="4"/>
    <n v="5.33"/>
    <x v="1"/>
    <x v="1"/>
    <n v="2021"/>
    <x v="0"/>
  </r>
  <r>
    <s v="EMP0839"/>
    <s v="Kiran Shah"/>
    <n v="36"/>
    <s v="36–45"/>
    <x v="0"/>
    <x v="0"/>
    <x v="0"/>
    <x v="173"/>
    <s v=" NA"/>
    <x v="0"/>
    <n v="3"/>
    <n v="109543"/>
    <x v="0"/>
    <x v="2"/>
    <n v="4"/>
    <x v="2"/>
    <x v="0"/>
    <n v="2022"/>
    <x v="0"/>
  </r>
  <r>
    <s v="EMP0840"/>
    <s v="Ananya Sharma"/>
    <n v="34"/>
    <s v="26–35"/>
    <x v="0"/>
    <x v="2"/>
    <x v="3"/>
    <x v="48"/>
    <s v=" NA"/>
    <x v="0"/>
    <n v="1"/>
    <n v="98052"/>
    <x v="3"/>
    <x v="1"/>
    <n v="0.5"/>
    <x v="5"/>
    <x v="0"/>
    <n v="2026"/>
    <x v="0"/>
  </r>
  <r>
    <s v="EMP0841"/>
    <s v="Divya Rao"/>
    <n v="35"/>
    <s v="26–35"/>
    <x v="0"/>
    <x v="4"/>
    <x v="1"/>
    <x v="102"/>
    <s v=" NA"/>
    <x v="0"/>
    <n v="1"/>
    <n v="45925"/>
    <x v="2"/>
    <x v="1"/>
    <n v="1"/>
    <x v="5"/>
    <x v="5"/>
    <n v="2025"/>
    <x v="0"/>
  </r>
  <r>
    <s v="EMP0842"/>
    <s v="Sanjay Sharma"/>
    <n v="40"/>
    <s v="36–45"/>
    <x v="0"/>
    <x v="2"/>
    <x v="2"/>
    <x v="87"/>
    <s v=" NA"/>
    <x v="0"/>
    <n v="2"/>
    <n v="156501"/>
    <x v="0"/>
    <x v="0"/>
    <n v="10.25"/>
    <x v="0"/>
    <x v="7"/>
    <n v="2016"/>
    <x v="0"/>
  </r>
  <r>
    <s v="EMP0843"/>
    <s v="Sanjay Krishnan"/>
    <n v="26"/>
    <s v="26–35"/>
    <x v="0"/>
    <x v="1"/>
    <x v="1"/>
    <x v="42"/>
    <s v=" NA"/>
    <x v="0"/>
    <n v="2"/>
    <n v="124385"/>
    <x v="0"/>
    <x v="1"/>
    <n v="0.17"/>
    <x v="1"/>
    <x v="0"/>
    <n v="2026"/>
    <x v="0"/>
  </r>
  <r>
    <s v="EMP0844"/>
    <s v="Meera Reddy"/>
    <n v="55"/>
    <s v="46–55"/>
    <x v="1"/>
    <x v="2"/>
    <x v="1"/>
    <x v="21"/>
    <s v=" NA"/>
    <x v="0"/>
    <n v="5"/>
    <n v="72285"/>
    <x v="1"/>
    <x v="0"/>
    <n v="12.25"/>
    <x v="2"/>
    <x v="7"/>
    <n v="2014"/>
    <x v="0"/>
  </r>
  <r>
    <s v="EMP0845"/>
    <s v="Divya Verma"/>
    <n v="23"/>
    <s v="18–25"/>
    <x v="0"/>
    <x v="2"/>
    <x v="4"/>
    <x v="183"/>
    <s v=" NA"/>
    <x v="0"/>
    <n v="5"/>
    <n v="69430"/>
    <x v="1"/>
    <x v="3"/>
    <n v="1.25"/>
    <x v="0"/>
    <x v="6"/>
    <n v="2025"/>
    <x v="0"/>
  </r>
  <r>
    <s v="EMP0846"/>
    <s v="Arjun Singh"/>
    <n v="60"/>
    <s v="56+"/>
    <x v="1"/>
    <x v="1"/>
    <x v="0"/>
    <x v="339"/>
    <s v=" NA"/>
    <x v="0"/>
    <n v="5"/>
    <n v="36821"/>
    <x v="2"/>
    <x v="0"/>
    <n v="13.58"/>
    <x v="0"/>
    <x v="2"/>
    <n v="2013"/>
    <x v="0"/>
  </r>
  <r>
    <s v="EMP0847"/>
    <s v="Neha Patel"/>
    <n v="27"/>
    <s v="26–35"/>
    <x v="0"/>
    <x v="7"/>
    <x v="4"/>
    <x v="44"/>
    <s v=" NA"/>
    <x v="0"/>
    <n v="3"/>
    <n v="28528"/>
    <x v="4"/>
    <x v="3"/>
    <n v="2.58"/>
    <x v="0"/>
    <x v="2"/>
    <n v="2024"/>
    <x v="0"/>
  </r>
  <r>
    <s v="EMP0848"/>
    <s v="Aarav Patel"/>
    <n v="22"/>
    <s v="18–25"/>
    <x v="1"/>
    <x v="3"/>
    <x v="3"/>
    <x v="178"/>
    <s v=" NA"/>
    <x v="0"/>
    <n v="4"/>
    <n v="61705"/>
    <x v="1"/>
    <x v="2"/>
    <n v="3.17"/>
    <x v="0"/>
    <x v="4"/>
    <n v="2023"/>
    <x v="0"/>
  </r>
  <r>
    <s v="EMP0849"/>
    <s v="Aarav Sharma"/>
    <n v="48"/>
    <s v="46–55"/>
    <x v="0"/>
    <x v="3"/>
    <x v="0"/>
    <x v="340"/>
    <s v="2026-08-08"/>
    <x v="1"/>
    <n v="1"/>
    <n v="28989"/>
    <x v="4"/>
    <x v="1"/>
    <n v="0.25"/>
    <x v="0"/>
    <x v="5"/>
    <n v="2026"/>
    <x v="1"/>
  </r>
  <r>
    <s v="EMP0850"/>
    <s v="Kavya Patel"/>
    <n v="24"/>
    <s v="18–25"/>
    <x v="1"/>
    <x v="2"/>
    <x v="1"/>
    <x v="341"/>
    <s v="2023-11-18"/>
    <x v="1"/>
    <n v="3"/>
    <n v="71309"/>
    <x v="1"/>
    <x v="3"/>
    <n v="3"/>
    <x v="3"/>
    <x v="1"/>
    <n v="2023"/>
    <x v="4"/>
  </r>
  <r>
    <s v="EMP0851"/>
    <s v="Keerthi Verma"/>
    <n v="23"/>
    <s v="18–25"/>
    <x v="1"/>
    <x v="1"/>
    <x v="1"/>
    <x v="6"/>
    <s v=" NA"/>
    <x v="0"/>
    <n v="4"/>
    <n v="67422"/>
    <x v="1"/>
    <x v="1"/>
    <n v="0.92"/>
    <x v="1"/>
    <x v="2"/>
    <n v="2025"/>
    <x v="0"/>
  </r>
  <r>
    <s v="EMP0852"/>
    <s v="Manoj Sharma"/>
    <n v="31"/>
    <s v="26–35"/>
    <x v="0"/>
    <x v="7"/>
    <x v="2"/>
    <x v="342"/>
    <s v="2021-10-31"/>
    <x v="1"/>
    <n v="1"/>
    <n v="42825"/>
    <x v="2"/>
    <x v="4"/>
    <n v="6.67"/>
    <x v="2"/>
    <x v="2"/>
    <n v="2020"/>
    <x v="6"/>
  </r>
  <r>
    <s v="EMP0853"/>
    <s v="Meera Shah"/>
    <n v="28"/>
    <s v="26–35"/>
    <x v="0"/>
    <x v="6"/>
    <x v="3"/>
    <x v="111"/>
    <s v=" NA"/>
    <x v="0"/>
    <n v="4"/>
    <n v="35978"/>
    <x v="2"/>
    <x v="3"/>
    <n v="2.92"/>
    <x v="0"/>
    <x v="2"/>
    <n v="2023"/>
    <x v="0"/>
  </r>
  <r>
    <s v="EMP0854"/>
    <s v="Nisha Joshi"/>
    <n v="23"/>
    <s v="18–25"/>
    <x v="0"/>
    <x v="0"/>
    <x v="1"/>
    <x v="104"/>
    <s v=" NA"/>
    <x v="0"/>
    <n v="2"/>
    <n v="20033"/>
    <x v="4"/>
    <x v="3"/>
    <n v="1.67"/>
    <x v="3"/>
    <x v="5"/>
    <n v="2025"/>
    <x v="0"/>
  </r>
  <r>
    <s v="EMP0855"/>
    <s v="Suresh Jain"/>
    <n v="31"/>
    <s v="26–35"/>
    <x v="0"/>
    <x v="2"/>
    <x v="3"/>
    <x v="102"/>
    <s v=" NA"/>
    <x v="0"/>
    <n v="3"/>
    <n v="38803"/>
    <x v="2"/>
    <x v="1"/>
    <n v="1"/>
    <x v="2"/>
    <x v="5"/>
    <n v="2025"/>
    <x v="0"/>
  </r>
  <r>
    <s v="EMP0856"/>
    <s v="Aisha Krishnan"/>
    <n v="33"/>
    <s v="26–35"/>
    <x v="0"/>
    <x v="3"/>
    <x v="2"/>
    <x v="2"/>
    <s v=" NA"/>
    <x v="0"/>
    <n v="3"/>
    <n v="86329"/>
    <x v="3"/>
    <x v="1"/>
    <n v="0.83"/>
    <x v="0"/>
    <x v="3"/>
    <n v="2025"/>
    <x v="0"/>
  </r>
  <r>
    <s v="EMP0857"/>
    <s v="Kavya Das"/>
    <n v="33"/>
    <s v="26–35"/>
    <x v="0"/>
    <x v="4"/>
    <x v="2"/>
    <x v="7"/>
    <s v=" NA"/>
    <x v="0"/>
    <n v="5"/>
    <n v="38583"/>
    <x v="2"/>
    <x v="1"/>
    <n v="0.25"/>
    <x v="5"/>
    <x v="6"/>
    <n v="2026"/>
    <x v="0"/>
  </r>
  <r>
    <s v="EMP0858"/>
    <s v="Keerthi Reddy"/>
    <n v="22"/>
    <s v="18–25"/>
    <x v="0"/>
    <x v="3"/>
    <x v="0"/>
    <x v="178"/>
    <s v=" NA"/>
    <x v="0"/>
    <n v="3"/>
    <n v="25190"/>
    <x v="4"/>
    <x v="2"/>
    <n v="3.17"/>
    <x v="0"/>
    <x v="1"/>
    <n v="2023"/>
    <x v="0"/>
  </r>
  <r>
    <s v="EMP0859"/>
    <s v="Ananya Verma"/>
    <n v="33"/>
    <s v="26–35"/>
    <x v="0"/>
    <x v="4"/>
    <x v="1"/>
    <x v="161"/>
    <s v=" NA"/>
    <x v="0"/>
    <n v="2"/>
    <n v="57431"/>
    <x v="1"/>
    <x v="4"/>
    <n v="6.25"/>
    <x v="0"/>
    <x v="1"/>
    <n v="2020"/>
    <x v="0"/>
  </r>
  <r>
    <s v="EMP0860"/>
    <s v="Pooja Nair"/>
    <n v="51"/>
    <s v="46–55"/>
    <x v="1"/>
    <x v="0"/>
    <x v="3"/>
    <x v="343"/>
    <s v="2021-09-28"/>
    <x v="1"/>
    <n v="5"/>
    <n v="65138"/>
    <x v="1"/>
    <x v="4"/>
    <n v="5.17"/>
    <x v="2"/>
    <x v="5"/>
    <n v="2021"/>
    <x v="6"/>
  </r>
  <r>
    <s v="EMP0861"/>
    <s v="Rohan Rao"/>
    <n v="24"/>
    <s v="18–25"/>
    <x v="1"/>
    <x v="0"/>
    <x v="3"/>
    <x v="344"/>
    <s v="2025-12-27"/>
    <x v="1"/>
    <n v="4"/>
    <n v="25386"/>
    <x v="4"/>
    <x v="1"/>
    <n v="0.75"/>
    <x v="0"/>
    <x v="0"/>
    <n v="2025"/>
    <x v="5"/>
  </r>
  <r>
    <s v="EMP0862"/>
    <s v="Meera Kumar"/>
    <n v="29"/>
    <s v="26–35"/>
    <x v="1"/>
    <x v="3"/>
    <x v="0"/>
    <x v="345"/>
    <s v="2019-08-02"/>
    <x v="1"/>
    <n v="4"/>
    <n v="44801"/>
    <x v="2"/>
    <x v="4"/>
    <n v="8.42"/>
    <x v="0"/>
    <x v="3"/>
    <n v="2018"/>
    <x v="10"/>
  </r>
  <r>
    <s v="EMP0863"/>
    <s v="Vikram Singh"/>
    <n v="27"/>
    <s v="26–35"/>
    <x v="0"/>
    <x v="7"/>
    <x v="3"/>
    <x v="346"/>
    <s v=" NA"/>
    <x v="0"/>
    <n v="2"/>
    <n v="29883"/>
    <x v="4"/>
    <x v="0"/>
    <n v="12.75"/>
    <x v="0"/>
    <x v="2"/>
    <n v="2014"/>
    <x v="0"/>
  </r>
  <r>
    <s v="EMP0864"/>
    <s v="Aditya Verma"/>
    <n v="54"/>
    <s v="46–55"/>
    <x v="0"/>
    <x v="6"/>
    <x v="1"/>
    <x v="347"/>
    <s v=" NA"/>
    <x v="0"/>
    <n v="2"/>
    <n v="29210"/>
    <x v="4"/>
    <x v="4"/>
    <n v="6.75"/>
    <x v="4"/>
    <x v="6"/>
    <n v="2020"/>
    <x v="0"/>
  </r>
  <r>
    <s v="EMP0865"/>
    <s v="Lakshmi Jain"/>
    <n v="33"/>
    <s v="26–35"/>
    <x v="0"/>
    <x v="0"/>
    <x v="0"/>
    <x v="27"/>
    <s v=" NA"/>
    <x v="0"/>
    <n v="3"/>
    <n v="77104"/>
    <x v="3"/>
    <x v="1"/>
    <n v="0.75"/>
    <x v="3"/>
    <x v="3"/>
    <n v="2026"/>
    <x v="0"/>
  </r>
  <r>
    <s v="EMP0866"/>
    <s v="Sana Reddy"/>
    <n v="35"/>
    <s v="26–35"/>
    <x v="0"/>
    <x v="2"/>
    <x v="1"/>
    <x v="59"/>
    <s v=" NA"/>
    <x v="0"/>
    <n v="3"/>
    <n v="154480"/>
    <x v="0"/>
    <x v="3"/>
    <n v="1.92"/>
    <x v="4"/>
    <x v="4"/>
    <n v="2024"/>
    <x v="0"/>
  </r>
  <r>
    <s v="EMP0867"/>
    <s v="Ishita Bose"/>
    <n v="54"/>
    <s v="46–55"/>
    <x v="1"/>
    <x v="0"/>
    <x v="2"/>
    <x v="216"/>
    <s v=" NA"/>
    <x v="0"/>
    <n v="3"/>
    <n v="29089"/>
    <x v="4"/>
    <x v="0"/>
    <n v="14.75"/>
    <x v="0"/>
    <x v="1"/>
    <n v="2012"/>
    <x v="0"/>
  </r>
  <r>
    <s v="EMP0868"/>
    <s v="Lakshmi Das"/>
    <n v="32"/>
    <s v="26–35"/>
    <x v="0"/>
    <x v="3"/>
    <x v="0"/>
    <x v="173"/>
    <s v=" NA"/>
    <x v="0"/>
    <n v="4"/>
    <n v="32533"/>
    <x v="2"/>
    <x v="2"/>
    <n v="4"/>
    <x v="1"/>
    <x v="1"/>
    <n v="2022"/>
    <x v="0"/>
  </r>
  <r>
    <s v="EMP0869"/>
    <s v="Priya Singh"/>
    <n v="27"/>
    <s v="26–35"/>
    <x v="0"/>
    <x v="3"/>
    <x v="0"/>
    <x v="42"/>
    <s v=" NA"/>
    <x v="0"/>
    <n v="3"/>
    <n v="61429"/>
    <x v="1"/>
    <x v="1"/>
    <n v="0.17"/>
    <x v="4"/>
    <x v="6"/>
    <n v="2026"/>
    <x v="0"/>
  </r>
  <r>
    <s v="EMP0870"/>
    <s v="Naveen Singh"/>
    <n v="45"/>
    <s v="36–45"/>
    <x v="1"/>
    <x v="0"/>
    <x v="0"/>
    <x v="27"/>
    <s v=" NA"/>
    <x v="0"/>
    <n v="3"/>
    <n v="21571"/>
    <x v="4"/>
    <x v="1"/>
    <n v="0.75"/>
    <x v="1"/>
    <x v="7"/>
    <n v="2026"/>
    <x v="0"/>
  </r>
  <r>
    <s v="EMP0871"/>
    <s v="Aisha Das"/>
    <n v="39"/>
    <s v="36–45"/>
    <x v="0"/>
    <x v="7"/>
    <x v="4"/>
    <x v="27"/>
    <s v="2026-05-28"/>
    <x v="1"/>
    <n v="4"/>
    <n v="25847"/>
    <x v="4"/>
    <x v="1"/>
    <n v="0.67"/>
    <x v="5"/>
    <x v="0"/>
    <n v="2026"/>
    <x v="1"/>
  </r>
  <r>
    <s v="EMP0872"/>
    <s v="Aisha  Joshi"/>
    <n v="33"/>
    <s v="26–35"/>
    <x v="1"/>
    <x v="1"/>
    <x v="0"/>
    <x v="29"/>
    <s v=" NA"/>
    <x v="0"/>
    <n v="3"/>
    <n v="117919"/>
    <x v="0"/>
    <x v="3"/>
    <n v="1.33"/>
    <x v="3"/>
    <x v="5"/>
    <n v="2025"/>
    <x v="0"/>
  </r>
  <r>
    <s v="EMP0873"/>
    <s v="Neha Krishnan"/>
    <n v="42"/>
    <s v="36–45"/>
    <x v="0"/>
    <x v="2"/>
    <x v="0"/>
    <x v="348"/>
    <s v=" NA"/>
    <x v="0"/>
    <n v="3"/>
    <n v="89188"/>
    <x v="3"/>
    <x v="0"/>
    <n v="14.08"/>
    <x v="1"/>
    <x v="3"/>
    <n v="2012"/>
    <x v="0"/>
  </r>
  <r>
    <s v="EMP0874"/>
    <s v="Arjun Iyer"/>
    <n v="53"/>
    <s v="46–55"/>
    <x v="1"/>
    <x v="1"/>
    <x v="2"/>
    <x v="12"/>
    <s v=" NA"/>
    <x v="0"/>
    <n v="5"/>
    <n v="39951"/>
    <x v="2"/>
    <x v="1"/>
    <n v="0.08"/>
    <x v="0"/>
    <x v="4"/>
    <n v="2026"/>
    <x v="0"/>
  </r>
  <r>
    <s v="EMP0875"/>
    <s v="Aarav Sharma"/>
    <n v="44"/>
    <s v="36–45"/>
    <x v="0"/>
    <x v="0"/>
    <x v="2"/>
    <x v="123"/>
    <s v=" NA"/>
    <x v="0"/>
    <n v="4"/>
    <n v="72857"/>
    <x v="1"/>
    <x v="2"/>
    <n v="4.75"/>
    <x v="3"/>
    <x v="3"/>
    <n v="2022"/>
    <x v="0"/>
  </r>
  <r>
    <s v="EMP0876"/>
    <s v="Manoj Das"/>
    <n v="54"/>
    <s v="46–55"/>
    <x v="1"/>
    <x v="6"/>
    <x v="1"/>
    <x v="23"/>
    <s v=" NA"/>
    <x v="0"/>
    <n v="5"/>
    <n v="34032"/>
    <x v="2"/>
    <x v="0"/>
    <n v="14.67"/>
    <x v="1"/>
    <x v="0"/>
    <n v="2012"/>
    <x v="0"/>
  </r>
  <r>
    <s v="EMP0877"/>
    <s v="Meera Iyer"/>
    <n v="28"/>
    <s v="26–35"/>
    <x v="0"/>
    <x v="1"/>
    <x v="3"/>
    <x v="349"/>
    <s v="2021-11-18"/>
    <x v="1"/>
    <n v="4"/>
    <n v="45863"/>
    <x v="2"/>
    <x v="2"/>
    <n v="4.92"/>
    <x v="0"/>
    <x v="1"/>
    <n v="2021"/>
    <x v="6"/>
  </r>
  <r>
    <s v="EMP0878"/>
    <s v="Kavya Kumar"/>
    <n v="28"/>
    <s v="26–35"/>
    <x v="0"/>
    <x v="1"/>
    <x v="1"/>
    <x v="0"/>
    <s v=" NA"/>
    <x v="0"/>
    <n v="4"/>
    <n v="66342"/>
    <x v="1"/>
    <x v="0"/>
    <n v="14.58"/>
    <x v="2"/>
    <x v="6"/>
    <n v="2012"/>
    <x v="0"/>
  </r>
  <r>
    <s v="EMP0879"/>
    <s v="Suresh Rao"/>
    <n v="35"/>
    <s v="26–35"/>
    <x v="1"/>
    <x v="5"/>
    <x v="0"/>
    <x v="46"/>
    <s v=" NA"/>
    <x v="0"/>
    <n v="4"/>
    <n v="33099"/>
    <x v="2"/>
    <x v="3"/>
    <n v="1.5"/>
    <x v="5"/>
    <x v="0"/>
    <n v="2025"/>
    <x v="0"/>
  </r>
  <r>
    <s v="EMP0880"/>
    <s v="Aditya Gupta"/>
    <n v="34"/>
    <s v="26–35"/>
    <x v="0"/>
    <x v="0"/>
    <x v="0"/>
    <x v="55"/>
    <s v=" NA"/>
    <x v="0"/>
    <n v="2"/>
    <n v="81229"/>
    <x v="3"/>
    <x v="0"/>
    <n v="15.83"/>
    <x v="1"/>
    <x v="0"/>
    <n v="2010"/>
    <x v="0"/>
  </r>
  <r>
    <s v="EMP0881"/>
    <s v="Kiran Bose"/>
    <n v="47"/>
    <s v="46–55"/>
    <x v="0"/>
    <x v="2"/>
    <x v="0"/>
    <x v="53"/>
    <s v=" NA"/>
    <x v="0"/>
    <n v="2"/>
    <n v="49878"/>
    <x v="2"/>
    <x v="3"/>
    <n v="2.42"/>
    <x v="0"/>
    <x v="2"/>
    <n v="2024"/>
    <x v="0"/>
  </r>
  <r>
    <s v="EMP0882"/>
    <s v="Rohan Jain"/>
    <n v="34"/>
    <s v="26–35"/>
    <x v="0"/>
    <x v="3"/>
    <x v="1"/>
    <x v="304"/>
    <s v="2026-09-01"/>
    <x v="1"/>
    <n v="3"/>
    <n v="36588"/>
    <x v="2"/>
    <x v="1"/>
    <n v="0.67"/>
    <x v="2"/>
    <x v="5"/>
    <n v="2026"/>
    <x v="1"/>
  </r>
  <r>
    <s v="EMP0883"/>
    <s v="Kavya Jain"/>
    <n v="40"/>
    <s v="36–45"/>
    <x v="0"/>
    <x v="1"/>
    <x v="0"/>
    <x v="10"/>
    <s v=" NA"/>
    <x v="0"/>
    <n v="1"/>
    <n v="161334"/>
    <x v="0"/>
    <x v="4"/>
    <n v="5.33"/>
    <x v="1"/>
    <x v="0"/>
    <n v="2021"/>
    <x v="0"/>
  </r>
  <r>
    <s v="EMP0884"/>
    <s v="Arjun Joshi"/>
    <n v="61"/>
    <s v="56+"/>
    <x v="1"/>
    <x v="7"/>
    <x v="4"/>
    <x v="350"/>
    <s v="2017-10-12"/>
    <x v="1"/>
    <n v="3"/>
    <n v="95181"/>
    <x v="3"/>
    <x v="0"/>
    <n v="14.83"/>
    <x v="4"/>
    <x v="4"/>
    <n v="2011"/>
    <x v="7"/>
  </r>
  <r>
    <s v="EMP0885"/>
    <s v="Lakshmi Jain"/>
    <n v="27"/>
    <s v="26–35"/>
    <x v="1"/>
    <x v="7"/>
    <x v="3"/>
    <x v="48"/>
    <s v=" NA"/>
    <x v="0"/>
    <n v="3"/>
    <n v="36154"/>
    <x v="2"/>
    <x v="1"/>
    <n v="0.5"/>
    <x v="3"/>
    <x v="5"/>
    <n v="2026"/>
    <x v="0"/>
  </r>
  <r>
    <s v="EMP0886"/>
    <s v="Rahul Patel"/>
    <n v="25"/>
    <s v="18–25"/>
    <x v="0"/>
    <x v="0"/>
    <x v="1"/>
    <x v="40"/>
    <s v=" NA"/>
    <x v="0"/>
    <n v="3"/>
    <n v="139275"/>
    <x v="0"/>
    <x v="3"/>
    <n v="1.58"/>
    <x v="5"/>
    <x v="3"/>
    <n v="2025"/>
    <x v="0"/>
  </r>
  <r>
    <s v="EMP0887"/>
    <s v="Naveen Gupta"/>
    <n v="35"/>
    <s v="26–35"/>
    <x v="0"/>
    <x v="1"/>
    <x v="0"/>
    <x v="123"/>
    <s v=" NA"/>
    <x v="0"/>
    <n v="2"/>
    <n v="35308"/>
    <x v="2"/>
    <x v="2"/>
    <n v="4.75"/>
    <x v="5"/>
    <x v="6"/>
    <n v="2022"/>
    <x v="0"/>
  </r>
  <r>
    <s v="EMP0888"/>
    <s v="Keerthi Joshi"/>
    <n v="34"/>
    <s v="26–35"/>
    <x v="1"/>
    <x v="1"/>
    <x v="3"/>
    <x v="141"/>
    <s v=" NA"/>
    <x v="0"/>
    <n v="4"/>
    <n v="26246"/>
    <x v="4"/>
    <x v="2"/>
    <n v="4.17"/>
    <x v="0"/>
    <x v="3"/>
    <n v="2022"/>
    <x v="0"/>
  </r>
  <r>
    <s v="EMP0889"/>
    <s v="Suresh Bose"/>
    <n v="57"/>
    <s v="56+"/>
    <x v="0"/>
    <x v="1"/>
    <x v="3"/>
    <x v="351"/>
    <s v=" NA"/>
    <x v="0"/>
    <n v="3"/>
    <n v="38177"/>
    <x v="2"/>
    <x v="4"/>
    <n v="5.67"/>
    <x v="0"/>
    <x v="7"/>
    <n v="2021"/>
    <x v="0"/>
  </r>
  <r>
    <s v="EMP0890"/>
    <s v="Lakshmi Reddy"/>
    <n v="21"/>
    <s v="18–25"/>
    <x v="0"/>
    <x v="2"/>
    <x v="3"/>
    <x v="29"/>
    <s v=" NA"/>
    <x v="0"/>
    <n v="1"/>
    <n v="106647"/>
    <x v="0"/>
    <x v="3"/>
    <n v="1.33"/>
    <x v="3"/>
    <x v="6"/>
    <n v="2025"/>
    <x v="0"/>
  </r>
  <r>
    <s v="EMP0891"/>
    <s v="Anil Sharma"/>
    <n v="30"/>
    <s v="26–35"/>
    <x v="0"/>
    <x v="7"/>
    <x v="1"/>
    <x v="172"/>
    <s v=" NA"/>
    <x v="0"/>
    <n v="3"/>
    <n v="49617"/>
    <x v="2"/>
    <x v="3"/>
    <n v="3"/>
    <x v="5"/>
    <x v="2"/>
    <n v="2023"/>
    <x v="0"/>
  </r>
  <r>
    <s v="EMP0892"/>
    <s v="Sanjay Singh"/>
    <n v="32"/>
    <s v="26–35"/>
    <x v="1"/>
    <x v="6"/>
    <x v="0"/>
    <x v="59"/>
    <s v=" NA"/>
    <x v="0"/>
    <n v="4"/>
    <n v="82518"/>
    <x v="3"/>
    <x v="3"/>
    <n v="1.92"/>
    <x v="2"/>
    <x v="2"/>
    <n v="2024"/>
    <x v="0"/>
  </r>
  <r>
    <s v="EMP0893"/>
    <s v="Meera Rao"/>
    <n v="33"/>
    <s v="26–35"/>
    <x v="0"/>
    <x v="4"/>
    <x v="0"/>
    <x v="251"/>
    <s v=" NA"/>
    <x v="0"/>
    <n v="2"/>
    <n v="36339"/>
    <x v="2"/>
    <x v="4"/>
    <n v="7"/>
    <x v="1"/>
    <x v="2"/>
    <n v="2019"/>
    <x v="0"/>
  </r>
  <r>
    <s v="EMP0894"/>
    <s v="Arjun Patel"/>
    <n v="55"/>
    <s v="46–55"/>
    <x v="0"/>
    <x v="1"/>
    <x v="1"/>
    <x v="31"/>
    <s v=" NA"/>
    <x v="0"/>
    <n v="4"/>
    <n v="29191"/>
    <x v="4"/>
    <x v="1"/>
    <n v="0.67"/>
    <x v="3"/>
    <x v="4"/>
    <n v="2026"/>
    <x v="0"/>
  </r>
  <r>
    <s v="EMP0895"/>
    <s v="Kavya Iyer"/>
    <n v="29"/>
    <s v="26–35"/>
    <x v="1"/>
    <x v="3"/>
    <x v="0"/>
    <x v="31"/>
    <s v=" NA"/>
    <x v="0"/>
    <n v="2"/>
    <n v="91034"/>
    <x v="3"/>
    <x v="1"/>
    <n v="0.67"/>
    <x v="2"/>
    <x v="5"/>
    <n v="2026"/>
    <x v="0"/>
  </r>
  <r>
    <s v="EMP0896"/>
    <s v="Rahul Rao"/>
    <n v="22"/>
    <s v="18–25"/>
    <x v="1"/>
    <x v="2"/>
    <x v="0"/>
    <x v="352"/>
    <s v="2020-06-11"/>
    <x v="1"/>
    <n v="3"/>
    <n v="69151"/>
    <x v="1"/>
    <x v="4"/>
    <n v="9.33"/>
    <x v="0"/>
    <x v="2"/>
    <n v="2017"/>
    <x v="9"/>
  </r>
  <r>
    <s v="EMP0897"/>
    <s v="Vikram Jain"/>
    <n v="24"/>
    <s v="18–25"/>
    <x v="1"/>
    <x v="6"/>
    <x v="0"/>
    <x v="292"/>
    <s v=" NA"/>
    <x v="0"/>
    <n v="4"/>
    <n v="58958"/>
    <x v="1"/>
    <x v="2"/>
    <n v="3.25"/>
    <x v="2"/>
    <x v="4"/>
    <n v="2023"/>
    <x v="0"/>
  </r>
  <r>
    <s v="EMP0898"/>
    <s v="Suresh Sharma"/>
    <n v="31"/>
    <s v="26–35"/>
    <x v="1"/>
    <x v="2"/>
    <x v="2"/>
    <x v="33"/>
    <s v=" NA"/>
    <x v="0"/>
    <n v="3"/>
    <n v="22138"/>
    <x v="4"/>
    <x v="2"/>
    <n v="4.33"/>
    <x v="0"/>
    <x v="4"/>
    <n v="2022"/>
    <x v="0"/>
  </r>
  <r>
    <s v="EMP0899"/>
    <s v="Suresh Kannan"/>
    <n v="30"/>
    <s v="26–35"/>
    <x v="0"/>
    <x v="1"/>
    <x v="0"/>
    <x v="353"/>
    <s v="2023-10-25"/>
    <x v="1"/>
    <n v="4"/>
    <n v="94573"/>
    <x v="3"/>
    <x v="2"/>
    <n v="3.08"/>
    <x v="5"/>
    <x v="4"/>
    <n v="2023"/>
    <x v="4"/>
  </r>
  <r>
    <s v="EMP0900"/>
    <s v="Meera Joshi"/>
    <n v="24"/>
    <s v="18–25"/>
    <x v="0"/>
    <x v="1"/>
    <x v="0"/>
    <x v="351"/>
    <s v=" NA"/>
    <x v="0"/>
    <n v="4"/>
    <n v="34007"/>
    <x v="2"/>
    <x v="4"/>
    <n v="5.67"/>
    <x v="0"/>
    <x v="6"/>
    <n v="2021"/>
    <x v="0"/>
  </r>
  <r>
    <s v="EMP0901"/>
    <s v="Kiran Krishnan"/>
    <n v="22"/>
    <s v="18–25"/>
    <x v="0"/>
    <x v="2"/>
    <x v="1"/>
    <x v="155"/>
    <s v=" NA"/>
    <x v="0"/>
    <n v="3"/>
    <n v="58136"/>
    <x v="1"/>
    <x v="2"/>
    <n v="4.5"/>
    <x v="5"/>
    <x v="4"/>
    <n v="2022"/>
    <x v="0"/>
  </r>
  <r>
    <s v="EMP0902"/>
    <s v="Pooja Rao"/>
    <n v="32"/>
    <s v="26–35"/>
    <x v="0"/>
    <x v="2"/>
    <x v="1"/>
    <x v="20"/>
    <s v=" NA"/>
    <x v="0"/>
    <n v="3"/>
    <n v="86267"/>
    <x v="3"/>
    <x v="4"/>
    <n v="7.83"/>
    <x v="0"/>
    <x v="1"/>
    <n v="2018"/>
    <x v="0"/>
  </r>
  <r>
    <s v="EMP0903"/>
    <s v="Nisha Iyer"/>
    <n v="31"/>
    <s v="26–35"/>
    <x v="1"/>
    <x v="1"/>
    <x v="3"/>
    <x v="70"/>
    <s v=" NA"/>
    <x v="0"/>
    <n v="5"/>
    <n v="73536"/>
    <x v="1"/>
    <x v="4"/>
    <n v="9.17"/>
    <x v="0"/>
    <x v="5"/>
    <n v="2017"/>
    <x v="0"/>
  </r>
  <r>
    <s v="EMP0904"/>
    <s v="Arjun Kannan"/>
    <n v="36"/>
    <s v="36–45"/>
    <x v="0"/>
    <x v="1"/>
    <x v="0"/>
    <x v="172"/>
    <s v=" NA"/>
    <x v="0"/>
    <n v="3"/>
    <n v="27994"/>
    <x v="4"/>
    <x v="3"/>
    <n v="3"/>
    <x v="2"/>
    <x v="0"/>
    <n v="2023"/>
    <x v="0"/>
  </r>
  <r>
    <s v="EMP0905"/>
    <s v="Naveen Menon"/>
    <n v="32"/>
    <s v="26–35"/>
    <x v="0"/>
    <x v="2"/>
    <x v="0"/>
    <x v="96"/>
    <s v=" NA"/>
    <x v="0"/>
    <n v="3"/>
    <n v="88849"/>
    <x v="3"/>
    <x v="0"/>
    <n v="14.42"/>
    <x v="3"/>
    <x v="6"/>
    <n v="2012"/>
    <x v="0"/>
  </r>
  <r>
    <s v="EMP0906"/>
    <s v="Anil Joshi"/>
    <n v="30"/>
    <s v="26–35"/>
    <x v="0"/>
    <x v="3"/>
    <x v="3"/>
    <x v="79"/>
    <s v=" NA"/>
    <x v="0"/>
    <n v="2"/>
    <n v="35563"/>
    <x v="2"/>
    <x v="2"/>
    <n v="5"/>
    <x v="2"/>
    <x v="0"/>
    <n v="2021"/>
    <x v="0"/>
  </r>
  <r>
    <s v="EMP0907"/>
    <s v="Aditya Gupta"/>
    <n v="41"/>
    <s v="36–45"/>
    <x v="1"/>
    <x v="5"/>
    <x v="1"/>
    <x v="104"/>
    <s v=" NA"/>
    <x v="0"/>
    <n v="4"/>
    <n v="31677"/>
    <x v="2"/>
    <x v="3"/>
    <n v="1.67"/>
    <x v="2"/>
    <x v="6"/>
    <n v="2025"/>
    <x v="0"/>
  </r>
  <r>
    <s v="EMP0908"/>
    <s v="Meera Patel"/>
    <n v="35"/>
    <s v="26–35"/>
    <x v="0"/>
    <x v="0"/>
    <x v="3"/>
    <x v="141"/>
    <s v=" NA"/>
    <x v="0"/>
    <n v="4"/>
    <n v="43822"/>
    <x v="2"/>
    <x v="2"/>
    <n v="4.17"/>
    <x v="3"/>
    <x v="4"/>
    <n v="2022"/>
    <x v="0"/>
  </r>
  <r>
    <s v="EMP0909"/>
    <s v="Kiran Iyer"/>
    <n v="47"/>
    <s v="46–55"/>
    <x v="1"/>
    <x v="0"/>
    <x v="3"/>
    <x v="39"/>
    <s v=" NA"/>
    <x v="0"/>
    <n v="3"/>
    <n v="57879"/>
    <x v="1"/>
    <x v="1"/>
    <n v="0.33"/>
    <x v="0"/>
    <x v="0"/>
    <n v="2026"/>
    <x v="0"/>
  </r>
  <r>
    <s v="EMP0910"/>
    <s v="Kiran Jain"/>
    <n v="46"/>
    <s v="46–55"/>
    <x v="1"/>
    <x v="6"/>
    <x v="3"/>
    <x v="300"/>
    <s v=" NA"/>
    <x v="0"/>
    <n v="5"/>
    <n v="29147"/>
    <x v="4"/>
    <x v="0"/>
    <n v="11.17"/>
    <x v="5"/>
    <x v="1"/>
    <n v="2015"/>
    <x v="0"/>
  </r>
  <r>
    <s v="EMP0911"/>
    <s v="Keerthi Joshi"/>
    <n v="30"/>
    <s v="26–35"/>
    <x v="0"/>
    <x v="4"/>
    <x v="0"/>
    <x v="11"/>
    <s v=" NA"/>
    <x v="0"/>
    <n v="3"/>
    <n v="51448"/>
    <x v="1"/>
    <x v="1"/>
    <n v="0.42"/>
    <x v="1"/>
    <x v="4"/>
    <n v="2026"/>
    <x v="0"/>
  </r>
  <r>
    <s v="EMP0912"/>
    <s v="Kavya Rao"/>
    <n v="33"/>
    <s v="26–35"/>
    <x v="0"/>
    <x v="1"/>
    <x v="0"/>
    <x v="102"/>
    <s v=" NA"/>
    <x v="0"/>
    <n v="2"/>
    <n v="80017"/>
    <x v="3"/>
    <x v="1"/>
    <n v="1"/>
    <x v="0"/>
    <x v="3"/>
    <n v="2025"/>
    <x v="0"/>
  </r>
  <r>
    <s v="EMP0913"/>
    <s v="Neha Iyer"/>
    <n v="33"/>
    <s v="26–35"/>
    <x v="0"/>
    <x v="2"/>
    <x v="0"/>
    <x v="263"/>
    <s v=" NA"/>
    <x v="0"/>
    <n v="4"/>
    <n v="87965"/>
    <x v="3"/>
    <x v="4"/>
    <n v="8.92"/>
    <x v="0"/>
    <x v="7"/>
    <n v="2017"/>
    <x v="0"/>
  </r>
  <r>
    <s v="EMP0914"/>
    <s v="Divya Jain"/>
    <n v="41"/>
    <s v="36–45"/>
    <x v="1"/>
    <x v="3"/>
    <x v="2"/>
    <x v="185"/>
    <s v=" NA"/>
    <x v="0"/>
    <n v="4"/>
    <n v="87010"/>
    <x v="3"/>
    <x v="4"/>
    <n v="9.92"/>
    <x v="0"/>
    <x v="3"/>
    <n v="2016"/>
    <x v="0"/>
  </r>
  <r>
    <s v="EMP0915"/>
    <s v="Sanjay Verma"/>
    <n v="46"/>
    <s v="46–55"/>
    <x v="0"/>
    <x v="1"/>
    <x v="0"/>
    <x v="354"/>
    <s v="2026-06-10"/>
    <x v="1"/>
    <n v="3"/>
    <n v="32922"/>
    <x v="2"/>
    <x v="1"/>
    <n v="0.42"/>
    <x v="1"/>
    <x v="0"/>
    <n v="2026"/>
    <x v="1"/>
  </r>
  <r>
    <s v="EMP0916"/>
    <s v="Nisha Reddy"/>
    <n v="40"/>
    <s v="36–45"/>
    <x v="1"/>
    <x v="0"/>
    <x v="0"/>
    <x v="42"/>
    <s v=" NA"/>
    <x v="0"/>
    <n v="4"/>
    <n v="18922"/>
    <x v="4"/>
    <x v="1"/>
    <n v="0.17"/>
    <x v="1"/>
    <x v="4"/>
    <n v="2026"/>
    <x v="0"/>
  </r>
  <r>
    <s v="EMP0917"/>
    <s v="Anil Bose"/>
    <n v="28"/>
    <s v="26–35"/>
    <x v="1"/>
    <x v="7"/>
    <x v="3"/>
    <x v="27"/>
    <s v=" NA"/>
    <x v="0"/>
    <n v="4"/>
    <n v="23436"/>
    <x v="4"/>
    <x v="1"/>
    <n v="0.75"/>
    <x v="3"/>
    <x v="5"/>
    <n v="2026"/>
    <x v="0"/>
  </r>
  <r>
    <s v="EMP0918"/>
    <s v="Kiran Gupta"/>
    <n v="29"/>
    <s v="26–35"/>
    <x v="0"/>
    <x v="5"/>
    <x v="1"/>
    <x v="13"/>
    <s v=" NA"/>
    <x v="0"/>
    <n v="2"/>
    <n v="22847"/>
    <x v="4"/>
    <x v="3"/>
    <n v="2.83"/>
    <x v="0"/>
    <x v="4"/>
    <n v="2023"/>
    <x v="0"/>
  </r>
  <r>
    <s v="EMP0919"/>
    <s v="Pooja Gupta"/>
    <n v="60"/>
    <s v="56+"/>
    <x v="1"/>
    <x v="4"/>
    <x v="1"/>
    <x v="355"/>
    <s v="2024-09-18"/>
    <x v="1"/>
    <n v="4"/>
    <n v="21026"/>
    <x v="4"/>
    <x v="3"/>
    <n v="2.08"/>
    <x v="3"/>
    <x v="3"/>
    <n v="2024"/>
    <x v="2"/>
  </r>
  <r>
    <s v="EMP0920"/>
    <s v="Aarav Menon"/>
    <n v="26"/>
    <s v="26–35"/>
    <x v="1"/>
    <x v="0"/>
    <x v="0"/>
    <x v="7"/>
    <s v=" NA"/>
    <x v="0"/>
    <n v="2"/>
    <n v="26079"/>
    <x v="4"/>
    <x v="1"/>
    <n v="0.25"/>
    <x v="0"/>
    <x v="6"/>
    <n v="2026"/>
    <x v="0"/>
  </r>
  <r>
    <s v="EMP0921"/>
    <s v="Vikram Gupta"/>
    <n v="23"/>
    <s v="18–25"/>
    <x v="0"/>
    <x v="5"/>
    <x v="0"/>
    <x v="111"/>
    <s v=" NA"/>
    <x v="0"/>
    <n v="2"/>
    <n v="46073"/>
    <x v="2"/>
    <x v="3"/>
    <n v="2.92"/>
    <x v="0"/>
    <x v="2"/>
    <n v="2023"/>
    <x v="0"/>
  </r>
  <r>
    <s v="EMP0922"/>
    <s v="Naveen Kannan"/>
    <n v="29"/>
    <s v="26–35"/>
    <x v="0"/>
    <x v="2"/>
    <x v="3"/>
    <x v="356"/>
    <s v="2022-12-07"/>
    <x v="1"/>
    <n v="4"/>
    <n v="51618"/>
    <x v="1"/>
    <x v="2"/>
    <n v="3.83"/>
    <x v="0"/>
    <x v="3"/>
    <n v="2022"/>
    <x v="3"/>
  </r>
  <r>
    <s v="EMP0923"/>
    <s v="Divya Patel"/>
    <n v="30"/>
    <s v="26–35"/>
    <x v="0"/>
    <x v="2"/>
    <x v="1"/>
    <x v="7"/>
    <s v=" NA"/>
    <x v="0"/>
    <n v="3"/>
    <n v="62752"/>
    <x v="1"/>
    <x v="1"/>
    <n v="0.25"/>
    <x v="5"/>
    <x v="6"/>
    <n v="2026"/>
    <x v="0"/>
  </r>
  <r>
    <s v="EMP0924"/>
    <s v="Kiran Menon"/>
    <n v="29"/>
    <s v="26–35"/>
    <x v="0"/>
    <x v="5"/>
    <x v="1"/>
    <x v="104"/>
    <s v=" NA"/>
    <x v="0"/>
    <n v="2"/>
    <n v="46556"/>
    <x v="2"/>
    <x v="3"/>
    <n v="1.67"/>
    <x v="2"/>
    <x v="6"/>
    <n v="2025"/>
    <x v="0"/>
  </r>
  <r>
    <s v="EMP0925"/>
    <s v="Pooja Kannan"/>
    <n v="48"/>
    <s v="46–55"/>
    <x v="0"/>
    <x v="1"/>
    <x v="0"/>
    <x v="357"/>
    <s v="2024-10-31"/>
    <x v="1"/>
    <n v="4"/>
    <n v="34053"/>
    <x v="2"/>
    <x v="3"/>
    <n v="2.67"/>
    <x v="5"/>
    <x v="7"/>
    <n v="2024"/>
    <x v="2"/>
  </r>
  <r>
    <s v="EMP0926"/>
    <s v="Ananya Verma"/>
    <n v="22"/>
    <s v="18–25"/>
    <x v="1"/>
    <x v="6"/>
    <x v="2"/>
    <x v="7"/>
    <s v=" NA"/>
    <x v="0"/>
    <n v="4"/>
    <n v="61754"/>
    <x v="1"/>
    <x v="1"/>
    <n v="0.25"/>
    <x v="1"/>
    <x v="2"/>
    <n v="2026"/>
    <x v="0"/>
  </r>
  <r>
    <s v="EMP0927"/>
    <s v="Meera Bose"/>
    <n v="37"/>
    <s v="36–45"/>
    <x v="1"/>
    <x v="1"/>
    <x v="1"/>
    <x v="358"/>
    <s v=" NA"/>
    <x v="0"/>
    <n v="3"/>
    <n v="30123"/>
    <x v="2"/>
    <x v="0"/>
    <n v="11.83"/>
    <x v="3"/>
    <x v="5"/>
    <n v="2014"/>
    <x v="0"/>
  </r>
  <r>
    <s v="EMP0928"/>
    <s v="Aditya Bose"/>
    <n v="21"/>
    <s v="18–25"/>
    <x v="0"/>
    <x v="1"/>
    <x v="3"/>
    <x v="238"/>
    <s v=" NA"/>
    <x v="0"/>
    <n v="4"/>
    <n v="159400"/>
    <x v="0"/>
    <x v="4"/>
    <n v="7.75"/>
    <x v="0"/>
    <x v="1"/>
    <n v="2019"/>
    <x v="0"/>
  </r>
  <r>
    <s v="EMP0929"/>
    <s v="Kavya Das"/>
    <n v="25"/>
    <s v="18–25"/>
    <x v="1"/>
    <x v="2"/>
    <x v="1"/>
    <x v="359"/>
    <s v="2025-11-28"/>
    <x v="1"/>
    <n v="4"/>
    <n v="23959"/>
    <x v="4"/>
    <x v="1"/>
    <n v="0.83"/>
    <x v="5"/>
    <x v="5"/>
    <n v="2025"/>
    <x v="5"/>
  </r>
  <r>
    <s v="EMP0930"/>
    <s v="Anil Menon"/>
    <n v="22"/>
    <s v="18–25"/>
    <x v="1"/>
    <x v="1"/>
    <x v="3"/>
    <x v="360"/>
    <s v="2018-02-19"/>
    <x v="1"/>
    <n v="4"/>
    <n v="24648"/>
    <x v="4"/>
    <x v="4"/>
    <n v="8.92"/>
    <x v="0"/>
    <x v="1"/>
    <n v="2017"/>
    <x v="11"/>
  </r>
  <r>
    <s v="EMP0931"/>
    <s v="Divya Verma"/>
    <n v="59"/>
    <s v="56+"/>
    <x v="0"/>
    <x v="0"/>
    <x v="0"/>
    <x v="43"/>
    <s v=" NA"/>
    <x v="0"/>
    <n v="2"/>
    <n v="93727"/>
    <x v="3"/>
    <x v="3"/>
    <n v="2.67"/>
    <x v="1"/>
    <x v="7"/>
    <n v="2024"/>
    <x v="0"/>
  </r>
  <r>
    <s v="EMP0932"/>
    <s v="Aditya Shah"/>
    <n v="49"/>
    <s v="46–55"/>
    <x v="0"/>
    <x v="1"/>
    <x v="0"/>
    <x v="274"/>
    <s v=" NA"/>
    <x v="0"/>
    <n v="1"/>
    <n v="36754"/>
    <x v="2"/>
    <x v="0"/>
    <n v="12.5"/>
    <x v="2"/>
    <x v="7"/>
    <n v="2014"/>
    <x v="0"/>
  </r>
  <r>
    <s v="EMP0933"/>
    <s v="Rahul Verma"/>
    <n v="27"/>
    <s v="26–35"/>
    <x v="1"/>
    <x v="2"/>
    <x v="1"/>
    <x v="5"/>
    <s v=" NA"/>
    <x v="0"/>
    <n v="4"/>
    <n v="26402"/>
    <x v="4"/>
    <x v="2"/>
    <n v="4.83"/>
    <x v="2"/>
    <x v="2"/>
    <n v="2021"/>
    <x v="0"/>
  </r>
  <r>
    <s v="EMP0934"/>
    <s v="Lakshmi Kannan"/>
    <n v="31"/>
    <s v="26–35"/>
    <x v="0"/>
    <x v="2"/>
    <x v="1"/>
    <x v="183"/>
    <s v=" NA"/>
    <x v="0"/>
    <n v="3"/>
    <n v="60424"/>
    <x v="1"/>
    <x v="3"/>
    <n v="1.25"/>
    <x v="0"/>
    <x v="1"/>
    <n v="2025"/>
    <x v="0"/>
  </r>
  <r>
    <s v="EMP0935"/>
    <s v="Rahul Krishnan"/>
    <n v="39"/>
    <s v="36–45"/>
    <x v="1"/>
    <x v="0"/>
    <x v="0"/>
    <x v="90"/>
    <s v=" NA"/>
    <x v="0"/>
    <n v="1"/>
    <n v="18662"/>
    <x v="4"/>
    <x v="4"/>
    <n v="7.92"/>
    <x v="2"/>
    <x v="2"/>
    <n v="2018"/>
    <x v="0"/>
  </r>
  <r>
    <s v="EMP0936"/>
    <s v="Manoj Joshi"/>
    <n v="58"/>
    <s v="56+"/>
    <x v="1"/>
    <x v="3"/>
    <x v="4"/>
    <x v="155"/>
    <s v=" NA"/>
    <x v="0"/>
    <n v="4"/>
    <n v="34409"/>
    <x v="2"/>
    <x v="2"/>
    <n v="4.5"/>
    <x v="2"/>
    <x v="3"/>
    <n v="2022"/>
    <x v="0"/>
  </r>
  <r>
    <s v="EMP0937"/>
    <s v="Neha Jain"/>
    <n v="32"/>
    <s v="26–35"/>
    <x v="1"/>
    <x v="1"/>
    <x v="0"/>
    <x v="122"/>
    <s v=" NA"/>
    <x v="0"/>
    <n v="4"/>
    <n v="51011"/>
    <x v="1"/>
    <x v="3"/>
    <n v="1.75"/>
    <x v="3"/>
    <x v="6"/>
    <n v="2025"/>
    <x v="0"/>
  </r>
  <r>
    <s v="EMP0938"/>
    <s v="Ishita Das"/>
    <n v="29"/>
    <s v="26–35"/>
    <x v="1"/>
    <x v="1"/>
    <x v="0"/>
    <x v="361"/>
    <s v="2024-05-08"/>
    <x v="1"/>
    <n v="3"/>
    <n v="39738"/>
    <x v="2"/>
    <x v="3"/>
    <n v="2.5"/>
    <x v="2"/>
    <x v="5"/>
    <n v="2024"/>
    <x v="2"/>
  </r>
  <r>
    <s v="EMP0939"/>
    <s v="Nisha  Singh"/>
    <n v="27"/>
    <s v="26–35"/>
    <x v="0"/>
    <x v="0"/>
    <x v="3"/>
    <x v="362"/>
    <s v=" NA"/>
    <x v="0"/>
    <n v="1"/>
    <n v="55207"/>
    <x v="1"/>
    <x v="4"/>
    <n v="7.42"/>
    <x v="2"/>
    <x v="3"/>
    <n v="2019"/>
    <x v="0"/>
  </r>
  <r>
    <s v="EMP0940"/>
    <s v="Sanjay Jain"/>
    <n v="30"/>
    <s v="26–35"/>
    <x v="1"/>
    <x v="2"/>
    <x v="1"/>
    <x v="337"/>
    <s v=" NA"/>
    <x v="0"/>
    <n v="1"/>
    <n v="74262"/>
    <x v="1"/>
    <x v="0"/>
    <n v="13.83"/>
    <x v="2"/>
    <x v="0"/>
    <n v="2012"/>
    <x v="0"/>
  </r>
  <r>
    <s v="EMP0941"/>
    <s v="Pooja Gupta"/>
    <n v="24"/>
    <s v="18–25"/>
    <x v="1"/>
    <x v="0"/>
    <x v="0"/>
    <x v="126"/>
    <s v=" NA"/>
    <x v="0"/>
    <n v="4"/>
    <n v="75702"/>
    <x v="3"/>
    <x v="0"/>
    <n v="10.92"/>
    <x v="0"/>
    <x v="5"/>
    <n v="2015"/>
    <x v="0"/>
  </r>
  <r>
    <s v="EMP0942"/>
    <s v="Rahul Krishnan"/>
    <n v="23"/>
    <s v="18–25"/>
    <x v="0"/>
    <x v="0"/>
    <x v="3"/>
    <x v="34"/>
    <s v=" NA"/>
    <x v="0"/>
    <n v="2"/>
    <n v="84844"/>
    <x v="3"/>
    <x v="2"/>
    <n v="3.5"/>
    <x v="0"/>
    <x v="2"/>
    <n v="2023"/>
    <x v="0"/>
  </r>
  <r>
    <s v="EMP0943"/>
    <s v="Arjun Iyer"/>
    <n v="27"/>
    <s v="26–35"/>
    <x v="1"/>
    <x v="2"/>
    <x v="1"/>
    <x v="151"/>
    <s v=" NA"/>
    <x v="0"/>
    <n v="5"/>
    <n v="39841"/>
    <x v="2"/>
    <x v="4"/>
    <n v="9.83"/>
    <x v="0"/>
    <x v="6"/>
    <n v="2016"/>
    <x v="0"/>
  </r>
  <r>
    <s v="EMP0944"/>
    <s v="Sanjay Das"/>
    <n v="37"/>
    <s v="36–45"/>
    <x v="0"/>
    <x v="3"/>
    <x v="0"/>
    <x v="50"/>
    <s v=" NA"/>
    <x v="0"/>
    <n v="3"/>
    <n v="29927"/>
    <x v="4"/>
    <x v="2"/>
    <n v="4.08"/>
    <x v="0"/>
    <x v="6"/>
    <n v="2022"/>
    <x v="0"/>
  </r>
  <r>
    <s v="EMP0945"/>
    <s v="Arjun Gupta"/>
    <n v="49"/>
    <s v="46–55"/>
    <x v="1"/>
    <x v="0"/>
    <x v="1"/>
    <x v="161"/>
    <s v=" NA"/>
    <x v="0"/>
    <n v="2"/>
    <n v="120309"/>
    <x v="0"/>
    <x v="4"/>
    <n v="6.25"/>
    <x v="0"/>
    <x v="2"/>
    <n v="2020"/>
    <x v="0"/>
  </r>
  <r>
    <s v="EMP0946"/>
    <s v="Lakshmi Reddy"/>
    <n v="28"/>
    <s v="26–35"/>
    <x v="1"/>
    <x v="2"/>
    <x v="0"/>
    <x v="239"/>
    <s v=" NA"/>
    <x v="0"/>
    <n v="3"/>
    <n v="120651"/>
    <x v="0"/>
    <x v="4"/>
    <n v="5.75"/>
    <x v="2"/>
    <x v="1"/>
    <n v="2021"/>
    <x v="0"/>
  </r>
  <r>
    <s v="EMP0947"/>
    <s v="Vikram Nair"/>
    <n v="25"/>
    <s v="18–25"/>
    <x v="0"/>
    <x v="3"/>
    <x v="1"/>
    <x v="363"/>
    <s v="2016-02-01"/>
    <x v="1"/>
    <n v="4"/>
    <n v="35320"/>
    <x v="2"/>
    <x v="0"/>
    <n v="15.75"/>
    <x v="1"/>
    <x v="5"/>
    <n v="2010"/>
    <x v="8"/>
  </r>
  <r>
    <s v="EMP0948"/>
    <s v="Aditya Jain"/>
    <n v="26"/>
    <s v="26–35"/>
    <x v="1"/>
    <x v="2"/>
    <x v="0"/>
    <x v="39"/>
    <s v=" NA"/>
    <x v="0"/>
    <n v="4"/>
    <n v="35410"/>
    <x v="2"/>
    <x v="1"/>
    <n v="0.33"/>
    <x v="3"/>
    <x v="4"/>
    <n v="2026"/>
    <x v="0"/>
  </r>
  <r>
    <s v="EMP0949"/>
    <s v="Aisha Verma"/>
    <n v="31"/>
    <s v="26–35"/>
    <x v="1"/>
    <x v="6"/>
    <x v="1"/>
    <x v="20"/>
    <s v=" NA"/>
    <x v="0"/>
    <n v="4"/>
    <n v="39574"/>
    <x v="2"/>
    <x v="4"/>
    <n v="7.83"/>
    <x v="2"/>
    <x v="5"/>
    <n v="2018"/>
    <x v="0"/>
  </r>
  <r>
    <s v="EMP0950"/>
    <s v="Vikram Rao"/>
    <n v="46"/>
    <s v="46–55"/>
    <x v="1"/>
    <x v="6"/>
    <x v="0"/>
    <x v="4"/>
    <s v="2025-09-18"/>
    <x v="1"/>
    <n v="2"/>
    <n v="148855"/>
    <x v="0"/>
    <x v="1"/>
    <n v="1"/>
    <x v="3"/>
    <x v="7"/>
    <n v="2025"/>
    <x v="5"/>
  </r>
  <r>
    <s v="EMP0951"/>
    <s v="Nisha Rao"/>
    <n v="39"/>
    <s v="36–45"/>
    <x v="1"/>
    <x v="7"/>
    <x v="0"/>
    <x v="364"/>
    <s v="2025-12-31"/>
    <x v="1"/>
    <n v="3"/>
    <n v="37033"/>
    <x v="2"/>
    <x v="1"/>
    <n v="0.75"/>
    <x v="0"/>
    <x v="4"/>
    <n v="2025"/>
    <x v="5"/>
  </r>
  <r>
    <s v="EMP0952"/>
    <s v="Kiran Iyer"/>
    <n v="24"/>
    <s v="18–25"/>
    <x v="1"/>
    <x v="3"/>
    <x v="3"/>
    <x v="6"/>
    <s v=" NA"/>
    <x v="0"/>
    <n v="4"/>
    <n v="55776"/>
    <x v="1"/>
    <x v="1"/>
    <n v="0.92"/>
    <x v="0"/>
    <x v="6"/>
    <n v="2025"/>
    <x v="0"/>
  </r>
  <r>
    <s v="EMP0953"/>
    <s v="Pooja Rao"/>
    <n v="31"/>
    <s v="26–35"/>
    <x v="1"/>
    <x v="0"/>
    <x v="0"/>
    <x v="10"/>
    <s v=" NA"/>
    <x v="0"/>
    <n v="3"/>
    <n v="126306"/>
    <x v="0"/>
    <x v="4"/>
    <n v="5.33"/>
    <x v="1"/>
    <x v="6"/>
    <n v="2021"/>
    <x v="0"/>
  </r>
  <r>
    <s v="EMP0954"/>
    <s v="Ishita Rao"/>
    <n v="30"/>
    <s v="26–35"/>
    <x v="1"/>
    <x v="4"/>
    <x v="4"/>
    <x v="2"/>
    <s v=" NA"/>
    <x v="0"/>
    <n v="3"/>
    <n v="50094"/>
    <x v="1"/>
    <x v="1"/>
    <n v="0.83"/>
    <x v="2"/>
    <x v="2"/>
    <n v="2025"/>
    <x v="0"/>
  </r>
  <r>
    <s v="EMP0955"/>
    <s v="Aditya Reddy"/>
    <n v="29"/>
    <s v="26–35"/>
    <x v="1"/>
    <x v="0"/>
    <x v="0"/>
    <x v="1"/>
    <s v=" NA"/>
    <x v="0"/>
    <n v="4"/>
    <n v="24709"/>
    <x v="4"/>
    <x v="0"/>
    <n v="14.17"/>
    <x v="2"/>
    <x v="3"/>
    <n v="2012"/>
    <x v="0"/>
  </r>
  <r>
    <s v="EMP0956"/>
    <s v="Priya Reddy"/>
    <n v="22"/>
    <s v="18–25"/>
    <x v="1"/>
    <x v="0"/>
    <x v="4"/>
    <x v="84"/>
    <s v=" NA"/>
    <x v="0"/>
    <n v="3"/>
    <n v="80237"/>
    <x v="3"/>
    <x v="2"/>
    <n v="3.08"/>
    <x v="4"/>
    <x v="0"/>
    <n v="2023"/>
    <x v="0"/>
  </r>
  <r>
    <s v="EMP0957"/>
    <s v="Rahul Krishnan"/>
    <n v="31"/>
    <s v="26–35"/>
    <x v="1"/>
    <x v="2"/>
    <x v="0"/>
    <x v="29"/>
    <s v=" NA"/>
    <x v="0"/>
    <n v="3"/>
    <n v="103769"/>
    <x v="0"/>
    <x v="3"/>
    <n v="1.33"/>
    <x v="0"/>
    <x v="5"/>
    <n v="2025"/>
    <x v="0"/>
  </r>
  <r>
    <s v="EMP0958"/>
    <s v="Sanjay Krishnan"/>
    <n v="22"/>
    <s v="18–25"/>
    <x v="1"/>
    <x v="2"/>
    <x v="2"/>
    <x v="77"/>
    <s v=" NA"/>
    <x v="0"/>
    <n v="5"/>
    <n v="67723"/>
    <x v="1"/>
    <x v="4"/>
    <n v="5.92"/>
    <x v="0"/>
    <x v="7"/>
    <n v="2020"/>
    <x v="0"/>
  </r>
  <r>
    <s v="EMP0959"/>
    <s v="Naveen Rao"/>
    <n v="31"/>
    <s v="26–35"/>
    <x v="1"/>
    <x v="0"/>
    <x v="1"/>
    <x v="111"/>
    <s v=" NA"/>
    <x v="0"/>
    <n v="4"/>
    <n v="59965"/>
    <x v="1"/>
    <x v="3"/>
    <n v="2.92"/>
    <x v="5"/>
    <x v="1"/>
    <n v="2023"/>
    <x v="0"/>
  </r>
  <r>
    <s v="EMP0960"/>
    <s v="Nisha Reddy"/>
    <n v="39"/>
    <s v="36–45"/>
    <x v="0"/>
    <x v="3"/>
    <x v="1"/>
    <x v="365"/>
    <s v="2021-10-19"/>
    <x v="1"/>
    <n v="4"/>
    <n v="20082"/>
    <x v="4"/>
    <x v="4"/>
    <n v="5.17"/>
    <x v="3"/>
    <x v="5"/>
    <n v="2021"/>
    <x v="6"/>
  </r>
  <r>
    <s v="EMP0961"/>
    <s v="Rohan Verma"/>
    <n v="21"/>
    <s v="18–25"/>
    <x v="1"/>
    <x v="6"/>
    <x v="0"/>
    <x v="178"/>
    <s v=" NA"/>
    <x v="0"/>
    <n v="3"/>
    <n v="164336"/>
    <x v="0"/>
    <x v="2"/>
    <n v="3.17"/>
    <x v="3"/>
    <x v="2"/>
    <n v="2023"/>
    <x v="0"/>
  </r>
  <r>
    <s v="EMP0962"/>
    <s v="Aisha Singh"/>
    <n v="32"/>
    <s v="26–35"/>
    <x v="0"/>
    <x v="0"/>
    <x v="0"/>
    <x v="51"/>
    <s v=" NA"/>
    <x v="0"/>
    <n v="4"/>
    <n v="49960"/>
    <x v="2"/>
    <x v="3"/>
    <n v="2"/>
    <x v="0"/>
    <x v="2"/>
    <n v="2024"/>
    <x v="0"/>
  </r>
  <r>
    <s v="EMP0963"/>
    <s v="Anil Reddy"/>
    <n v="54"/>
    <s v="46–55"/>
    <x v="1"/>
    <x v="0"/>
    <x v="1"/>
    <x v="337"/>
    <s v=" NA"/>
    <x v="0"/>
    <n v="4"/>
    <n v="44572"/>
    <x v="2"/>
    <x v="0"/>
    <n v="13.83"/>
    <x v="5"/>
    <x v="5"/>
    <n v="2012"/>
    <x v="0"/>
  </r>
  <r>
    <s v="EMP0964"/>
    <s v="Ananya Joshi"/>
    <n v="40"/>
    <s v="36–45"/>
    <x v="0"/>
    <x v="1"/>
    <x v="3"/>
    <x v="366"/>
    <s v="2025-09-18"/>
    <x v="1"/>
    <n v="1"/>
    <n v="50847"/>
    <x v="1"/>
    <x v="3"/>
    <n v="1.08"/>
    <x v="2"/>
    <x v="4"/>
    <n v="2025"/>
    <x v="5"/>
  </r>
  <r>
    <s v="EMP0965"/>
    <s v="Aditya Kumar"/>
    <n v="27"/>
    <s v="26–35"/>
    <x v="1"/>
    <x v="3"/>
    <x v="4"/>
    <x v="2"/>
    <s v=" NA"/>
    <x v="0"/>
    <n v="2"/>
    <n v="123438"/>
    <x v="0"/>
    <x v="1"/>
    <n v="0.83"/>
    <x v="0"/>
    <x v="3"/>
    <n v="2025"/>
    <x v="0"/>
  </r>
  <r>
    <s v="EMP0966"/>
    <s v="Priya Kannan"/>
    <n v="57"/>
    <s v="56+"/>
    <x v="1"/>
    <x v="3"/>
    <x v="2"/>
    <x v="7"/>
    <s v=" NA"/>
    <x v="0"/>
    <n v="5"/>
    <n v="96807"/>
    <x v="3"/>
    <x v="1"/>
    <n v="0.25"/>
    <x v="0"/>
    <x v="1"/>
    <n v="2026"/>
    <x v="0"/>
  </r>
  <r>
    <s v="EMP0967"/>
    <s v="Ananya Singh"/>
    <n v="49"/>
    <s v="46–55"/>
    <x v="0"/>
    <x v="1"/>
    <x v="3"/>
    <x v="167"/>
    <s v=" NA"/>
    <x v="0"/>
    <n v="4"/>
    <n v="43760"/>
    <x v="2"/>
    <x v="4"/>
    <n v="6.58"/>
    <x v="3"/>
    <x v="4"/>
    <n v="2020"/>
    <x v="0"/>
  </r>
  <r>
    <s v="EMP0968"/>
    <s v="Anil Gupta"/>
    <n v="37"/>
    <s v="36–45"/>
    <x v="1"/>
    <x v="2"/>
    <x v="0"/>
    <x v="292"/>
    <s v=" NA"/>
    <x v="0"/>
    <n v="5"/>
    <n v="24452"/>
    <x v="4"/>
    <x v="2"/>
    <n v="3.25"/>
    <x v="3"/>
    <x v="7"/>
    <n v="2023"/>
    <x v="0"/>
  </r>
  <r>
    <s v="EMP0969"/>
    <s v="Priya Nair"/>
    <n v="53"/>
    <s v="46–55"/>
    <x v="0"/>
    <x v="6"/>
    <x v="3"/>
    <x v="367"/>
    <s v="2026-09-15"/>
    <x v="1"/>
    <n v="3"/>
    <n v="55833"/>
    <x v="1"/>
    <x v="1"/>
    <n v="0.67"/>
    <x v="4"/>
    <x v="5"/>
    <n v="2026"/>
    <x v="1"/>
  </r>
  <r>
    <s v="EMP0970"/>
    <s v="Meera Singh"/>
    <n v="25"/>
    <s v="18–25"/>
    <x v="0"/>
    <x v="5"/>
    <x v="0"/>
    <x v="368"/>
    <s v="2023-11-23"/>
    <x v="1"/>
    <n v="3"/>
    <n v="40147"/>
    <x v="2"/>
    <x v="3"/>
    <n v="2.83"/>
    <x v="1"/>
    <x v="3"/>
    <n v="2023"/>
    <x v="4"/>
  </r>
  <r>
    <s v="EMP0971"/>
    <s v="Sanjay Kumar"/>
    <n v="59"/>
    <s v="56+"/>
    <x v="1"/>
    <x v="1"/>
    <x v="0"/>
    <x v="2"/>
    <s v=" NA"/>
    <x v="0"/>
    <n v="1"/>
    <n v="32237"/>
    <x v="2"/>
    <x v="1"/>
    <n v="0.83"/>
    <x v="4"/>
    <x v="4"/>
    <n v="2025"/>
    <x v="0"/>
  </r>
  <r>
    <s v="EMP0972"/>
    <s v="Ishita Gupta"/>
    <n v="49"/>
    <s v="46–55"/>
    <x v="0"/>
    <x v="0"/>
    <x v="1"/>
    <x v="326"/>
    <s v=" NA"/>
    <x v="0"/>
    <n v="4"/>
    <n v="22176"/>
    <x v="4"/>
    <x v="4"/>
    <n v="5.17"/>
    <x v="4"/>
    <x v="1"/>
    <n v="2021"/>
    <x v="0"/>
  </r>
  <r>
    <s v="EMP0973"/>
    <s v="Nisha Patel"/>
    <n v="33"/>
    <s v="26–35"/>
    <x v="0"/>
    <x v="3"/>
    <x v="1"/>
    <x v="369"/>
    <s v="2019-05-12"/>
    <x v="1"/>
    <n v="3"/>
    <n v="19391"/>
    <x v="4"/>
    <x v="0"/>
    <n v="13.33"/>
    <x v="2"/>
    <x v="3"/>
    <n v="2013"/>
    <x v="10"/>
  </r>
  <r>
    <s v="EMP0974"/>
    <s v="Lakshmi Jain"/>
    <n v="26"/>
    <s v="26–35"/>
    <x v="1"/>
    <x v="0"/>
    <x v="0"/>
    <x v="238"/>
    <s v=" NA"/>
    <x v="0"/>
    <n v="2"/>
    <n v="27100"/>
    <x v="4"/>
    <x v="4"/>
    <n v="7.75"/>
    <x v="1"/>
    <x v="3"/>
    <n v="2019"/>
    <x v="0"/>
  </r>
  <r>
    <s v="EMP0975"/>
    <s v="Arjun Bose"/>
    <n v="28"/>
    <s v="26–35"/>
    <x v="1"/>
    <x v="3"/>
    <x v="1"/>
    <x v="370"/>
    <s v=" NA"/>
    <x v="0"/>
    <n v="3"/>
    <n v="18582"/>
    <x v="4"/>
    <x v="4"/>
    <n v="9.33"/>
    <x v="3"/>
    <x v="0"/>
    <n v="2017"/>
    <x v="0"/>
  </r>
  <r>
    <s v="EMP0976"/>
    <s v="Divya Gupta"/>
    <n v="28"/>
    <s v="26–35"/>
    <x v="1"/>
    <x v="1"/>
    <x v="1"/>
    <x v="79"/>
    <s v=" NA"/>
    <x v="0"/>
    <n v="3"/>
    <n v="38974"/>
    <x v="2"/>
    <x v="2"/>
    <n v="5"/>
    <x v="0"/>
    <x v="3"/>
    <n v="2021"/>
    <x v="0"/>
  </r>
  <r>
    <s v="EMP0977"/>
    <s v="Meera Krishnan"/>
    <n v="59"/>
    <s v="56+"/>
    <x v="0"/>
    <x v="3"/>
    <x v="1"/>
    <x v="29"/>
    <s v=" NA"/>
    <x v="0"/>
    <n v="4"/>
    <n v="38227"/>
    <x v="2"/>
    <x v="3"/>
    <n v="1.33"/>
    <x v="4"/>
    <x v="3"/>
    <n v="2025"/>
    <x v="0"/>
  </r>
  <r>
    <s v="EMP0978"/>
    <s v="Pooja Sharma"/>
    <n v="32"/>
    <s v="26–35"/>
    <x v="0"/>
    <x v="0"/>
    <x v="0"/>
    <x v="371"/>
    <s v="2025-09-28"/>
    <x v="1"/>
    <n v="4"/>
    <n v="48029"/>
    <x v="2"/>
    <x v="1"/>
    <n v="0.92"/>
    <x v="0"/>
    <x v="4"/>
    <n v="2025"/>
    <x v="5"/>
  </r>
  <r>
    <s v="EMP0979"/>
    <s v="Keerthi Kumar"/>
    <n v="43"/>
    <s v="36–45"/>
    <x v="1"/>
    <x v="2"/>
    <x v="1"/>
    <x v="372"/>
    <s v=" NA"/>
    <x v="0"/>
    <n v="3"/>
    <n v="62623"/>
    <x v="1"/>
    <x v="4"/>
    <n v="6"/>
    <x v="5"/>
    <x v="0"/>
    <n v="2020"/>
    <x v="0"/>
  </r>
  <r>
    <s v="EMP0980"/>
    <s v="Ananya Gupta"/>
    <n v="23"/>
    <s v="18–25"/>
    <x v="1"/>
    <x v="1"/>
    <x v="0"/>
    <x v="373"/>
    <s v="2020-02-22"/>
    <x v="1"/>
    <n v="5"/>
    <n v="56598"/>
    <x v="1"/>
    <x v="4"/>
    <n v="7.83"/>
    <x v="2"/>
    <x v="6"/>
    <n v="2018"/>
    <x v="9"/>
  </r>
  <r>
    <s v="EMP0981"/>
    <s v="Sanjay Gupta"/>
    <n v="21"/>
    <s v="18–25"/>
    <x v="1"/>
    <x v="0"/>
    <x v="1"/>
    <x v="21"/>
    <s v=" NA"/>
    <x v="0"/>
    <n v="4"/>
    <n v="31706"/>
    <x v="2"/>
    <x v="0"/>
    <n v="12.25"/>
    <x v="2"/>
    <x v="1"/>
    <n v="2014"/>
    <x v="0"/>
  </r>
  <r>
    <s v="EMP0982"/>
    <s v="Ishita Shah"/>
    <n v="32"/>
    <s v="26–35"/>
    <x v="1"/>
    <x v="7"/>
    <x v="0"/>
    <x v="172"/>
    <s v=" NA"/>
    <x v="0"/>
    <n v="4"/>
    <n v="19171"/>
    <x v="4"/>
    <x v="3"/>
    <n v="3"/>
    <x v="0"/>
    <x v="3"/>
    <n v="2023"/>
    <x v="0"/>
  </r>
  <r>
    <s v="EMP0983"/>
    <s v="Manoj Singh"/>
    <n v="54"/>
    <s v="46–55"/>
    <x v="0"/>
    <x v="1"/>
    <x v="0"/>
    <x v="33"/>
    <s v=" NA"/>
    <x v="0"/>
    <n v="5"/>
    <n v="117527"/>
    <x v="0"/>
    <x v="2"/>
    <n v="4.33"/>
    <x v="5"/>
    <x v="5"/>
    <n v="2022"/>
    <x v="0"/>
  </r>
  <r>
    <s v="EMP0984"/>
    <s v="Rahul Singh"/>
    <n v="39"/>
    <s v="36–45"/>
    <x v="0"/>
    <x v="3"/>
    <x v="0"/>
    <x v="133"/>
    <s v=" NA"/>
    <x v="0"/>
    <n v="3"/>
    <n v="123891"/>
    <x v="0"/>
    <x v="0"/>
    <n v="15.25"/>
    <x v="3"/>
    <x v="7"/>
    <n v="2011"/>
    <x v="0"/>
  </r>
  <r>
    <s v="EMP0985"/>
    <s v="Aisha Jain"/>
    <n v="38"/>
    <s v="36–45"/>
    <x v="1"/>
    <x v="2"/>
    <x v="2"/>
    <x v="155"/>
    <s v=" NA"/>
    <x v="0"/>
    <n v="4"/>
    <n v="81728"/>
    <x v="3"/>
    <x v="2"/>
    <n v="4.5"/>
    <x v="2"/>
    <x v="3"/>
    <n v="2022"/>
    <x v="0"/>
  </r>
  <r>
    <s v="EMP0986"/>
    <s v="Keerthi Nair"/>
    <n v="32"/>
    <s v="26–35"/>
    <x v="1"/>
    <x v="3"/>
    <x v="1"/>
    <x v="120"/>
    <s v=" NA"/>
    <x v="0"/>
    <n v="3"/>
    <n v="47750"/>
    <x v="2"/>
    <x v="3"/>
    <n v="1.83"/>
    <x v="3"/>
    <x v="7"/>
    <n v="2024"/>
    <x v="0"/>
  </r>
  <r>
    <s v="EMP0987"/>
    <s v="Neha Rao"/>
    <n v="27"/>
    <s v="26–35"/>
    <x v="1"/>
    <x v="5"/>
    <x v="3"/>
    <x v="6"/>
    <s v=" NA"/>
    <x v="0"/>
    <n v="3"/>
    <n v="26478"/>
    <x v="4"/>
    <x v="1"/>
    <n v="0.92"/>
    <x v="2"/>
    <x v="6"/>
    <n v="2025"/>
    <x v="0"/>
  </r>
  <r>
    <s v="EMP0988"/>
    <s v="Divya Verma"/>
    <n v="22"/>
    <s v="18–25"/>
    <x v="1"/>
    <x v="4"/>
    <x v="0"/>
    <x v="251"/>
    <s v=" NA"/>
    <x v="0"/>
    <n v="3"/>
    <n v="21117"/>
    <x v="4"/>
    <x v="4"/>
    <n v="7"/>
    <x v="1"/>
    <x v="0"/>
    <n v="2019"/>
    <x v="0"/>
  </r>
  <r>
    <s v="EMP0989"/>
    <s v="Manoj Rao"/>
    <n v="35"/>
    <s v="26–35"/>
    <x v="0"/>
    <x v="2"/>
    <x v="0"/>
    <x v="374"/>
    <s v="2022-06-29"/>
    <x v="1"/>
    <n v="1"/>
    <n v="47309"/>
    <x v="2"/>
    <x v="2"/>
    <n v="4.5"/>
    <x v="2"/>
    <x v="2"/>
    <n v="2022"/>
    <x v="3"/>
  </r>
  <r>
    <s v="EMP0990"/>
    <s v="Aisha Menon"/>
    <n v="22"/>
    <s v="18–25"/>
    <x v="0"/>
    <x v="1"/>
    <x v="0"/>
    <x v="375"/>
    <s v="2026-06-26"/>
    <x v="1"/>
    <n v="2"/>
    <n v="81082"/>
    <x v="3"/>
    <x v="1"/>
    <n v="0.33"/>
    <x v="0"/>
    <x v="4"/>
    <n v="2026"/>
    <x v="1"/>
  </r>
  <r>
    <s v="EMP0991"/>
    <s v="Aditya Reddy"/>
    <n v="27"/>
    <s v="26–35"/>
    <x v="1"/>
    <x v="3"/>
    <x v="0"/>
    <x v="376"/>
    <s v="2025-04-04"/>
    <x v="1"/>
    <n v="4"/>
    <n v="33818"/>
    <x v="2"/>
    <x v="3"/>
    <n v="1.67"/>
    <x v="2"/>
    <x v="5"/>
    <n v="2025"/>
    <x v="5"/>
  </r>
  <r>
    <s v="EMP0992"/>
    <s v="Aditya Krishnan"/>
    <n v="49"/>
    <s v="46–55"/>
    <x v="1"/>
    <x v="3"/>
    <x v="1"/>
    <x v="377"/>
    <s v="2018-12-02"/>
    <x v="1"/>
    <n v="4"/>
    <n v="23159"/>
    <x v="4"/>
    <x v="4"/>
    <n v="8.17"/>
    <x v="3"/>
    <x v="0"/>
    <n v="2018"/>
    <x v="11"/>
  </r>
  <r>
    <s v="EMP0993"/>
    <s v="Kavya Bose"/>
    <n v="33"/>
    <s v="26–35"/>
    <x v="0"/>
    <x v="1"/>
    <x v="1"/>
    <x v="378"/>
    <s v="2019-11-11"/>
    <x v="1"/>
    <n v="3"/>
    <n v="74730"/>
    <x v="1"/>
    <x v="4"/>
    <n v="7.92"/>
    <x v="2"/>
    <x v="3"/>
    <n v="2018"/>
    <x v="10"/>
  </r>
  <r>
    <s v="EMP0994"/>
    <s v="Divya Singh"/>
    <n v="37"/>
    <s v="36–45"/>
    <x v="0"/>
    <x v="6"/>
    <x v="1"/>
    <x v="79"/>
    <s v=" NA"/>
    <x v="0"/>
    <n v="3"/>
    <n v="67672"/>
    <x v="1"/>
    <x v="2"/>
    <n v="5"/>
    <x v="2"/>
    <x v="0"/>
    <n v="2021"/>
    <x v="0"/>
  </r>
  <r>
    <s v="EMP0995"/>
    <s v="Nisha Kannan"/>
    <n v="23"/>
    <s v="18–25"/>
    <x v="0"/>
    <x v="3"/>
    <x v="0"/>
    <x v="50"/>
    <s v=" NA"/>
    <x v="0"/>
    <n v="1"/>
    <n v="75020"/>
    <x v="3"/>
    <x v="2"/>
    <n v="4.08"/>
    <x v="1"/>
    <x v="0"/>
    <n v="2022"/>
    <x v="0"/>
  </r>
  <r>
    <s v="EMP0996"/>
    <s v="Kiran Shah"/>
    <n v="29"/>
    <s v="26–35"/>
    <x v="0"/>
    <x v="1"/>
    <x v="0"/>
    <x v="11"/>
    <s v=" NA"/>
    <x v="0"/>
    <n v="3"/>
    <n v="49772"/>
    <x v="2"/>
    <x v="1"/>
    <n v="0.42"/>
    <x v="4"/>
    <x v="0"/>
    <n v="2026"/>
    <x v="0"/>
  </r>
  <r>
    <s v="EMP0997"/>
    <s v="Suresh Jain"/>
    <n v="24"/>
    <s v="18–25"/>
    <x v="0"/>
    <x v="1"/>
    <x v="1"/>
    <x v="379"/>
    <s v="2024-12-21"/>
    <x v="1"/>
    <n v="4"/>
    <n v="20621"/>
    <x v="4"/>
    <x v="3"/>
    <n v="1.83"/>
    <x v="3"/>
    <x v="3"/>
    <n v="2024"/>
    <x v="2"/>
  </r>
  <r>
    <s v="EMP0998"/>
    <s v="Aisha Reddy"/>
    <n v="45"/>
    <s v="36–45"/>
    <x v="0"/>
    <x v="4"/>
    <x v="0"/>
    <x v="59"/>
    <s v=" NA"/>
    <x v="0"/>
    <n v="4"/>
    <n v="29177"/>
    <x v="4"/>
    <x v="3"/>
    <n v="1.92"/>
    <x v="2"/>
    <x v="7"/>
    <n v="2024"/>
    <x v="0"/>
  </r>
  <r>
    <s v="EMP0999"/>
    <s v="Sanjay Reddy"/>
    <n v="48"/>
    <s v="46–55"/>
    <x v="0"/>
    <x v="3"/>
    <x v="0"/>
    <x v="380"/>
    <s v="2021-12-10"/>
    <x v="1"/>
    <n v="4"/>
    <n v="93570"/>
    <x v="3"/>
    <x v="2"/>
    <n v="4.92"/>
    <x v="1"/>
    <x v="3"/>
    <n v="2021"/>
    <x v="6"/>
  </r>
  <r>
    <s v="EMP1000"/>
    <s v="Nisha Menon"/>
    <n v="62"/>
    <s v="56+"/>
    <x v="1"/>
    <x v="6"/>
    <x v="0"/>
    <x v="381"/>
    <s v=" NA"/>
    <x v="0"/>
    <n v="5"/>
    <n v="64103"/>
    <x v="1"/>
    <x v="0"/>
    <n v="14.33"/>
    <x v="2"/>
    <x v="4"/>
    <n v="20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erage salary" cacheId="53" applyNumberFormats="0" applyBorderFormats="0" applyFontFormats="0" applyPatternFormats="0" applyAlignmentFormats="0" applyWidthHeightFormats="1" dataCaption="Values" updatedVersion="5" minRefreshableVersion="3" itemPrintTitles="1" createdVersion="8" indent="0" outline="1" outlineData="1" multipleFieldFilters="0">
  <location ref="D3:D4" firstHeaderRow="1" firstDataRow="1" firstDataCol="0"/>
  <pivotFields count="22">
    <pivotField showAll="0"/>
    <pivotField showAll="0"/>
    <pivotField showAll="0"/>
    <pivotField showAll="0"/>
    <pivotField showAll="0">
      <items count="3">
        <item x="1"/>
        <item x="0"/>
        <item t="default"/>
      </items>
    </pivotField>
    <pivotField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showAll="0"/>
    <pivotField showAll="0"/>
    <pivotField dataField="1" numFmtId="3" showAll="0"/>
    <pivotField showAll="0"/>
    <pivotField showAll="0"/>
    <pivotField showAll="0"/>
    <pivotField showAll="0"/>
    <pivotField showAll="0"/>
    <pivotField showAll="0"/>
    <pivotField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Items count="1">
    <i/>
  </rowItems>
  <colItems count="1">
    <i/>
  </colItems>
  <dataFields count="1">
    <dataField name="Average of Monthly_Salary_INR" fld="11"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hiring wisee attrition" cacheId="53"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93">
  <location ref="D23:E36" firstHeaderRow="1" firstDataRow="1" firstDataCol="1"/>
  <pivotFields count="22">
    <pivotField dataField="1" showAll="0"/>
    <pivotField showAll="0"/>
    <pivotField showAll="0"/>
    <pivotField showAll="0"/>
    <pivotField showAll="0">
      <items count="3">
        <item x="1"/>
        <item x="0"/>
        <item t="default"/>
      </items>
    </pivotField>
    <pivotField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axis="axisRow" showAll="0">
      <items count="3">
        <item h="1" x="0"/>
        <item x="1"/>
        <item t="default"/>
      </items>
    </pivotField>
    <pivotField showAll="0"/>
    <pivotField numFmtId="3" showAll="0"/>
    <pivotField showAll="0"/>
    <pivotField showAll="0"/>
    <pivotField showAll="0"/>
    <pivotField axis="axisRow" showAll="0">
      <items count="7">
        <item x="5"/>
        <item x="1"/>
        <item x="3"/>
        <item x="2"/>
        <item x="0"/>
        <item x="4"/>
        <item t="default"/>
      </items>
    </pivotField>
    <pivotField showAll="0"/>
    <pivotField showAll="0"/>
    <pivotField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2">
    <field x="15"/>
    <field x="9"/>
  </rowFields>
  <rowItems count="13">
    <i>
      <x/>
    </i>
    <i r="1">
      <x v="1"/>
    </i>
    <i>
      <x v="1"/>
    </i>
    <i r="1">
      <x v="1"/>
    </i>
    <i>
      <x v="2"/>
    </i>
    <i r="1">
      <x v="1"/>
    </i>
    <i>
      <x v="3"/>
    </i>
    <i r="1">
      <x v="1"/>
    </i>
    <i>
      <x v="4"/>
    </i>
    <i r="1">
      <x v="1"/>
    </i>
    <i>
      <x v="5"/>
    </i>
    <i r="1">
      <x v="1"/>
    </i>
    <i t="grand">
      <x/>
    </i>
  </rowItems>
  <colItems count="1">
    <i/>
  </colItems>
  <dataFields count="1">
    <dataField name="Count of Employee_ID" fld="0" subtotal="count" baseField="0" baseItem="0"/>
  </dataFields>
  <chartFormats count="30">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42" format="6"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5" format="8" series="1">
      <pivotArea type="data" outline="0" fieldPosition="0">
        <references count="1">
          <reference field="4294967294" count="1" selected="0">
            <x v="0"/>
          </reference>
        </references>
      </pivotArea>
    </chartFormat>
    <chartFormat chart="75" format="9">
      <pivotArea type="data" outline="0" fieldPosition="0">
        <references count="3">
          <reference field="4294967294" count="1" selected="0">
            <x v="0"/>
          </reference>
          <reference field="9" count="1" selected="0">
            <x v="1"/>
          </reference>
          <reference field="15" count="1" selected="0">
            <x v="0"/>
          </reference>
        </references>
      </pivotArea>
    </chartFormat>
    <chartFormat chart="75" format="10">
      <pivotArea type="data" outline="0" fieldPosition="0">
        <references count="3">
          <reference field="4294967294" count="1" selected="0">
            <x v="0"/>
          </reference>
          <reference field="9" count="1" selected="0">
            <x v="1"/>
          </reference>
          <reference field="15" count="1" selected="0">
            <x v="1"/>
          </reference>
        </references>
      </pivotArea>
    </chartFormat>
    <chartFormat chart="75" format="11">
      <pivotArea type="data" outline="0" fieldPosition="0">
        <references count="3">
          <reference field="4294967294" count="1" selected="0">
            <x v="0"/>
          </reference>
          <reference field="9" count="1" selected="0">
            <x v="1"/>
          </reference>
          <reference field="15" count="1" selected="0">
            <x v="2"/>
          </reference>
        </references>
      </pivotArea>
    </chartFormat>
    <chartFormat chart="75" format="12">
      <pivotArea type="data" outline="0" fieldPosition="0">
        <references count="3">
          <reference field="4294967294" count="1" selected="0">
            <x v="0"/>
          </reference>
          <reference field="9" count="1" selected="0">
            <x v="1"/>
          </reference>
          <reference field="15" count="1" selected="0">
            <x v="3"/>
          </reference>
        </references>
      </pivotArea>
    </chartFormat>
    <chartFormat chart="75" format="13">
      <pivotArea type="data" outline="0" fieldPosition="0">
        <references count="3">
          <reference field="4294967294" count="1" selected="0">
            <x v="0"/>
          </reference>
          <reference field="9" count="1" selected="0">
            <x v="1"/>
          </reference>
          <reference field="15" count="1" selected="0">
            <x v="4"/>
          </reference>
        </references>
      </pivotArea>
    </chartFormat>
    <chartFormat chart="75" format="14">
      <pivotArea type="data" outline="0" fieldPosition="0">
        <references count="3">
          <reference field="4294967294" count="1" selected="0">
            <x v="0"/>
          </reference>
          <reference field="9" count="1" selected="0">
            <x v="1"/>
          </reference>
          <reference field="15" count="1" selected="0">
            <x v="5"/>
          </reference>
        </references>
      </pivotArea>
    </chartFormat>
    <chartFormat chart="77" format="0" series="1">
      <pivotArea type="data" outline="0" fieldPosition="0">
        <references count="1">
          <reference field="4294967294" count="1" selected="0">
            <x v="0"/>
          </reference>
        </references>
      </pivotArea>
    </chartFormat>
    <chartFormat chart="81" format="8" series="1">
      <pivotArea type="data" outline="0" fieldPosition="0">
        <references count="1">
          <reference field="4294967294" count="1" selected="0">
            <x v="0"/>
          </reference>
        </references>
      </pivotArea>
    </chartFormat>
    <chartFormat chart="81" format="9">
      <pivotArea type="data" outline="0" fieldPosition="0">
        <references count="3">
          <reference field="4294967294" count="1" selected="0">
            <x v="0"/>
          </reference>
          <reference field="9" count="1" selected="0">
            <x v="1"/>
          </reference>
          <reference field="15" count="1" selected="0">
            <x v="0"/>
          </reference>
        </references>
      </pivotArea>
    </chartFormat>
    <chartFormat chart="81" format="10">
      <pivotArea type="data" outline="0" fieldPosition="0">
        <references count="3">
          <reference field="4294967294" count="1" selected="0">
            <x v="0"/>
          </reference>
          <reference field="9" count="1" selected="0">
            <x v="1"/>
          </reference>
          <reference field="15" count="1" selected="0">
            <x v="1"/>
          </reference>
        </references>
      </pivotArea>
    </chartFormat>
    <chartFormat chart="81" format="11">
      <pivotArea type="data" outline="0" fieldPosition="0">
        <references count="3">
          <reference field="4294967294" count="1" selected="0">
            <x v="0"/>
          </reference>
          <reference field="9" count="1" selected="0">
            <x v="1"/>
          </reference>
          <reference field="15" count="1" selected="0">
            <x v="2"/>
          </reference>
        </references>
      </pivotArea>
    </chartFormat>
    <chartFormat chart="81" format="12">
      <pivotArea type="data" outline="0" fieldPosition="0">
        <references count="3">
          <reference field="4294967294" count="1" selected="0">
            <x v="0"/>
          </reference>
          <reference field="9" count="1" selected="0">
            <x v="1"/>
          </reference>
          <reference field="15" count="1" selected="0">
            <x v="3"/>
          </reference>
        </references>
      </pivotArea>
    </chartFormat>
    <chartFormat chart="81" format="13">
      <pivotArea type="data" outline="0" fieldPosition="0">
        <references count="3">
          <reference field="4294967294" count="1" selected="0">
            <x v="0"/>
          </reference>
          <reference field="9" count="1" selected="0">
            <x v="1"/>
          </reference>
          <reference field="15" count="1" selected="0">
            <x v="4"/>
          </reference>
        </references>
      </pivotArea>
    </chartFormat>
    <chartFormat chart="81" format="14">
      <pivotArea type="data" outline="0" fieldPosition="0">
        <references count="3">
          <reference field="4294967294" count="1" selected="0">
            <x v="0"/>
          </reference>
          <reference field="9" count="1" selected="0">
            <x v="1"/>
          </reference>
          <reference field="15" count="1" selected="0">
            <x v="5"/>
          </reference>
        </references>
      </pivotArea>
    </chartFormat>
    <chartFormat chart="83" format="0" series="1">
      <pivotArea type="data" outline="0" fieldPosition="0">
        <references count="1">
          <reference field="4294967294" count="1" selected="0">
            <x v="0"/>
          </reference>
        </references>
      </pivotArea>
    </chartFormat>
    <chartFormat chart="87" format="8" series="1">
      <pivotArea type="data" outline="0" fieldPosition="0">
        <references count="1">
          <reference field="4294967294" count="1" selected="0">
            <x v="0"/>
          </reference>
        </references>
      </pivotArea>
    </chartFormat>
    <chartFormat chart="87" format="9">
      <pivotArea type="data" outline="0" fieldPosition="0">
        <references count="3">
          <reference field="4294967294" count="1" selected="0">
            <x v="0"/>
          </reference>
          <reference field="9" count="1" selected="0">
            <x v="1"/>
          </reference>
          <reference field="15" count="1" selected="0">
            <x v="0"/>
          </reference>
        </references>
      </pivotArea>
    </chartFormat>
    <chartFormat chart="87" format="10">
      <pivotArea type="data" outline="0" fieldPosition="0">
        <references count="3">
          <reference field="4294967294" count="1" selected="0">
            <x v="0"/>
          </reference>
          <reference field="9" count="1" selected="0">
            <x v="1"/>
          </reference>
          <reference field="15" count="1" selected="0">
            <x v="1"/>
          </reference>
        </references>
      </pivotArea>
    </chartFormat>
    <chartFormat chart="87" format="11">
      <pivotArea type="data" outline="0" fieldPosition="0">
        <references count="3">
          <reference field="4294967294" count="1" selected="0">
            <x v="0"/>
          </reference>
          <reference field="9" count="1" selected="0">
            <x v="1"/>
          </reference>
          <reference field="15" count="1" selected="0">
            <x v="2"/>
          </reference>
        </references>
      </pivotArea>
    </chartFormat>
    <chartFormat chart="87" format="12">
      <pivotArea type="data" outline="0" fieldPosition="0">
        <references count="3">
          <reference field="4294967294" count="1" selected="0">
            <x v="0"/>
          </reference>
          <reference field="9" count="1" selected="0">
            <x v="1"/>
          </reference>
          <reference field="15" count="1" selected="0">
            <x v="3"/>
          </reference>
        </references>
      </pivotArea>
    </chartFormat>
    <chartFormat chart="87" format="13">
      <pivotArea type="data" outline="0" fieldPosition="0">
        <references count="3">
          <reference field="4294967294" count="1" selected="0">
            <x v="0"/>
          </reference>
          <reference field="9" count="1" selected="0">
            <x v="1"/>
          </reference>
          <reference field="15" count="1" selected="0">
            <x v="4"/>
          </reference>
        </references>
      </pivotArea>
    </chartFormat>
    <chartFormat chart="87" format="14">
      <pivotArea type="data" outline="0" fieldPosition="0">
        <references count="3">
          <reference field="4294967294" count="1" selected="0">
            <x v="0"/>
          </reference>
          <reference field="9" count="1" selected="0">
            <x v="1"/>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gender wise malle &amp; female" cacheId="53"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74">
  <location ref="J2:K6" firstHeaderRow="1" firstDataRow="1" firstDataCol="1"/>
  <pivotFields count="22">
    <pivotField dataField="1" showAll="0"/>
    <pivotField showAll="0"/>
    <pivotField showAll="0"/>
    <pivotField showAll="0"/>
    <pivotField axis="axisRow" showAll="0">
      <items count="3">
        <item x="1"/>
        <item x="0"/>
        <item t="default"/>
      </items>
    </pivotField>
    <pivotField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axis="axisRow" showAll="0">
      <items count="3">
        <item h="1" x="0"/>
        <item x="1"/>
        <item t="default"/>
      </items>
    </pivotField>
    <pivotField showAll="0"/>
    <pivotField numFmtId="3" showAll="0"/>
    <pivotField showAll="0"/>
    <pivotField showAll="0"/>
    <pivotField showAll="0"/>
    <pivotField showAll="0"/>
    <pivotField showAll="0"/>
    <pivotField showAll="0"/>
    <pivotField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2">
    <field x="9"/>
    <field x="4"/>
  </rowFields>
  <rowItems count="4">
    <i>
      <x v="1"/>
    </i>
    <i r="1">
      <x/>
    </i>
    <i r="1">
      <x v="1"/>
    </i>
    <i t="grand">
      <x/>
    </i>
  </rowItems>
  <colItems count="1">
    <i/>
  </colItems>
  <dataFields count="1">
    <dataField name="Count of Employee_ID" fld="0" subtotal="count" baseField="0" baseItem="0"/>
  </dataFields>
  <chartFormats count="13">
    <chartFormat chart="12"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 chart="52" format="5">
      <pivotArea type="data" outline="0" fieldPosition="0">
        <references count="3">
          <reference field="4294967294" count="1" selected="0">
            <x v="0"/>
          </reference>
          <reference field="4" count="1" selected="0">
            <x v="0"/>
          </reference>
          <reference field="9" count="1" selected="0">
            <x v="1"/>
          </reference>
        </references>
      </pivotArea>
    </chartFormat>
    <chartFormat chart="52" format="6">
      <pivotArea type="data" outline="0" fieldPosition="0">
        <references count="3">
          <reference field="4294967294" count="1" selected="0">
            <x v="0"/>
          </reference>
          <reference field="4" count="1" selected="0">
            <x v="1"/>
          </reference>
          <reference field="9" count="1" selected="0">
            <x v="1"/>
          </reference>
        </references>
      </pivotArea>
    </chartFormat>
    <chartFormat chart="53" format="0" series="1">
      <pivotArea type="data" outline="0" fieldPosition="0">
        <references count="1">
          <reference field="4294967294" count="1" selected="0">
            <x v="0"/>
          </reference>
        </references>
      </pivotArea>
    </chartFormat>
    <chartFormat chart="57" format="3" series="1">
      <pivotArea type="data" outline="0" fieldPosition="0">
        <references count="1">
          <reference field="4294967294" count="1" selected="0">
            <x v="0"/>
          </reference>
        </references>
      </pivotArea>
    </chartFormat>
    <chartFormat chart="57" format="4">
      <pivotArea type="data" outline="0" fieldPosition="0">
        <references count="3">
          <reference field="4294967294" count="1" selected="0">
            <x v="0"/>
          </reference>
          <reference field="4" count="1" selected="0">
            <x v="1"/>
          </reference>
          <reference field="9" count="1" selected="0">
            <x v="1"/>
          </reference>
        </references>
      </pivotArea>
    </chartFormat>
    <chartFormat chart="73" format="4" series="1">
      <pivotArea type="data" outline="0" fieldPosition="0">
        <references count="1">
          <reference field="4294967294" count="1" selected="0">
            <x v="0"/>
          </reference>
        </references>
      </pivotArea>
    </chartFormat>
    <chartFormat chart="73" format="5">
      <pivotArea type="data" outline="0" fieldPosition="0">
        <references count="3">
          <reference field="4294967294" count="1" selected="0">
            <x v="0"/>
          </reference>
          <reference field="4" count="1" selected="0">
            <x v="0"/>
          </reference>
          <reference field="9" count="1" selected="0">
            <x v="1"/>
          </reference>
        </references>
      </pivotArea>
    </chartFormat>
    <chartFormat chart="73" format="6">
      <pivotArea type="data" outline="0" fieldPosition="0">
        <references count="3">
          <reference field="4294967294" count="1" selected="0">
            <x v="0"/>
          </reference>
          <reference field="4"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employees" cacheId="53"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4">
  <location ref="A3:A4" firstHeaderRow="1" firstDataRow="1" firstDataCol="0"/>
  <pivotFields count="22">
    <pivotField dataField="1" showAll="0"/>
    <pivotField showAll="0"/>
    <pivotField showAll="0"/>
    <pivotField showAll="0"/>
    <pivotField showAll="0">
      <items count="3">
        <item x="1"/>
        <item x="0"/>
        <item t="default"/>
      </items>
    </pivotField>
    <pivotField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showAll="0"/>
    <pivotField showAll="0"/>
    <pivotField numFmtId="3" showAll="0"/>
    <pivotField showAll="0"/>
    <pivotField showAll="0"/>
    <pivotField showAll="0"/>
    <pivotField showAll="0"/>
    <pivotField showAll="0"/>
    <pivotField showAll="0"/>
    <pivotField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Items count="1">
    <i/>
  </rowItems>
  <colItems count="1">
    <i/>
  </colItems>
  <dataFields count="1">
    <dataField name="Count of Employee_ID" fld="0" subtotal="count" baseField="0" baseItem="0"/>
  </dataFields>
  <chartFormats count="5">
    <chartFormat chart="42" format="7" series="1">
      <pivotArea type="data" outline="0" fieldPosition="0">
        <references count="1">
          <reference field="4294967294" count="1" selected="0">
            <x v="0"/>
          </reference>
        </references>
      </pivotArea>
    </chartFormat>
    <chartFormat chart="64" format="5" series="1">
      <pivotArea type="data" outline="0" fieldPosition="0">
        <references count="1">
          <reference field="4294967294" count="1" selected="0">
            <x v="0"/>
          </reference>
        </references>
      </pivotArea>
    </chartFormat>
    <chartFormat chart="75" format="15">
      <pivotArea type="data" outline="0" fieldPosition="0">
        <references count="1">
          <reference field="4294967294" count="1" selected="0">
            <x v="0"/>
          </reference>
        </references>
      </pivotArea>
    </chartFormat>
    <chartFormat chart="75" format="16" series="1">
      <pivotArea type="data" outline="0" fieldPosition="0">
        <references count="1">
          <reference field="4294967294" count="1" selected="0">
            <x v="0"/>
          </reference>
        </references>
      </pivotArea>
    </chartFormat>
    <chartFormat chart="8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year wise resignation" cacheId="53" applyNumberFormats="0" applyBorderFormats="0" applyFontFormats="0" applyPatternFormats="0" applyAlignmentFormats="0" applyWidthHeightFormats="1" dataCaption="Values" updatedVersion="5" minRefreshableVersion="3" itemPrintTitles="1" createdVersion="8" indent="0" outline="1" outlineData="1" multipleFieldFilters="0" chartFormat="19">
  <location ref="A41:B53" firstHeaderRow="1" firstDataRow="1" firstDataCol="1" rowPageCount="1" colPageCount="1"/>
  <pivotFields count="22">
    <pivotField dataField="1" showAll="0"/>
    <pivotField showAll="0"/>
    <pivotField showAll="0"/>
    <pivotField showAll="0"/>
    <pivotField showAll="0">
      <items count="3">
        <item x="1"/>
        <item x="0"/>
        <item t="default"/>
      </items>
    </pivotField>
    <pivotField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axis="axisPage" showAll="0">
      <items count="3">
        <item x="0"/>
        <item x="1"/>
        <item t="default"/>
      </items>
    </pivotField>
    <pivotField showAll="0"/>
    <pivotField numFmtId="3" showAll="0"/>
    <pivotField showAll="0"/>
    <pivotField showAll="0"/>
    <pivotField showAll="0"/>
    <pivotField showAll="0"/>
    <pivotField showAll="0"/>
    <pivotField showAll="0"/>
    <pivotField axis="axisRow" showAll="0" defaultSubtotal="0">
      <items count="12">
        <item x="8"/>
        <item x="7"/>
        <item x="11"/>
        <item x="10"/>
        <item x="9"/>
        <item x="6"/>
        <item x="3"/>
        <item x="4"/>
        <item x="2"/>
        <item x="5"/>
        <item x="1"/>
        <item x="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18"/>
  </rowFields>
  <rowItems count="12">
    <i>
      <x/>
    </i>
    <i>
      <x v="1"/>
    </i>
    <i>
      <x v="2"/>
    </i>
    <i>
      <x v="3"/>
    </i>
    <i>
      <x v="4"/>
    </i>
    <i>
      <x v="5"/>
    </i>
    <i>
      <x v="6"/>
    </i>
    <i>
      <x v="7"/>
    </i>
    <i>
      <x v="8"/>
    </i>
    <i>
      <x v="9"/>
    </i>
    <i>
      <x v="10"/>
    </i>
    <i t="grand">
      <x/>
    </i>
  </rowItems>
  <colItems count="1">
    <i/>
  </colItems>
  <pageFields count="1">
    <pageField fld="9" item="1" hier="-1"/>
  </pageFields>
  <dataFields count="1">
    <dataField name="Count of Employee_ID" fld="0" subtotal="count" baseField="0" baseItem="0"/>
  </dataFields>
  <chartFormats count="2">
    <chartFormat chart="6"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education wise attrition" cacheId="53" applyNumberFormats="0" applyBorderFormats="0" applyFontFormats="0" applyPatternFormats="0" applyAlignmentFormats="0" applyWidthHeightFormats="1" dataCaption="Values" updatedVersion="5" minRefreshableVersion="3" itemPrintTitles="1" createdVersion="8" indent="0" outline="1" outlineData="1" multipleFieldFilters="0" chartFormat="81">
  <location ref="D78:E84" firstHeaderRow="1" firstDataRow="1" firstDataCol="1" rowPageCount="1" colPageCount="1"/>
  <pivotFields count="22">
    <pivotField dataField="1" showAll="0"/>
    <pivotField showAll="0"/>
    <pivotField showAll="0"/>
    <pivotField showAll="0"/>
    <pivotField showAll="0">
      <items count="3">
        <item x="1"/>
        <item x="0"/>
        <item t="default"/>
      </items>
    </pivotField>
    <pivotField showAll="0">
      <items count="9">
        <item x="5"/>
        <item x="0"/>
        <item x="6"/>
        <item x="4"/>
        <item x="7"/>
        <item x="3"/>
        <item x="1"/>
        <item x="2"/>
        <item t="default"/>
      </items>
    </pivotField>
    <pivotField axis="axisRow"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axis="axisPage" multipleItemSelectionAllowed="1" showAll="0">
      <items count="3">
        <item h="1" x="0"/>
        <item x="1"/>
        <item t="default"/>
      </items>
    </pivotField>
    <pivotField showAll="0"/>
    <pivotField numFmtId="3" showAll="0"/>
    <pivotField showAll="0"/>
    <pivotField showAll="0"/>
    <pivotField showAll="0"/>
    <pivotField showAll="0"/>
    <pivotField showAll="0"/>
    <pivotField showAll="0"/>
    <pivotField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6"/>
  </rowFields>
  <rowItems count="6">
    <i>
      <x/>
    </i>
    <i>
      <x v="1"/>
    </i>
    <i>
      <x v="2"/>
    </i>
    <i>
      <x v="3"/>
    </i>
    <i>
      <x v="4"/>
    </i>
    <i t="grand">
      <x/>
    </i>
  </rowItems>
  <colItems count="1">
    <i/>
  </colItems>
  <pageFields count="1">
    <pageField fld="9" hier="-1"/>
  </pageFields>
  <dataFields count="1">
    <dataField name="Count of Employee_ID" fld="0" subtotal="count" baseField="0" baseItem="0"/>
  </dataFields>
  <chartFormats count="1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51" format="36" series="1">
      <pivotArea type="data" outline="0" fieldPosition="0">
        <references count="2">
          <reference field="4294967294" count="1" selected="0">
            <x v="0"/>
          </reference>
          <reference field="6" count="1" selected="0">
            <x v="0"/>
          </reference>
        </references>
      </pivotArea>
    </chartFormat>
    <chartFormat chart="51" format="37" series="1">
      <pivotArea type="data" outline="0" fieldPosition="0">
        <references count="2">
          <reference field="4294967294" count="1" selected="0">
            <x v="0"/>
          </reference>
          <reference field="6" count="1" selected="0">
            <x v="1"/>
          </reference>
        </references>
      </pivotArea>
    </chartFormat>
    <chartFormat chart="51" format="38" series="1">
      <pivotArea type="data" outline="0" fieldPosition="0">
        <references count="2">
          <reference field="4294967294" count="1" selected="0">
            <x v="0"/>
          </reference>
          <reference field="6" count="1" selected="0">
            <x v="2"/>
          </reference>
        </references>
      </pivotArea>
    </chartFormat>
    <chartFormat chart="51" format="39" series="1">
      <pivotArea type="data" outline="0" fieldPosition="0">
        <references count="2">
          <reference field="4294967294" count="1" selected="0">
            <x v="0"/>
          </reference>
          <reference field="6" count="1" selected="0">
            <x v="3"/>
          </reference>
        </references>
      </pivotArea>
    </chartFormat>
    <chartFormat chart="51" format="40" series="1">
      <pivotArea type="data" outline="0" fieldPosition="0">
        <references count="2">
          <reference field="4294967294" count="1" selected="0">
            <x v="0"/>
          </reference>
          <reference field="6" count="1" selected="0">
            <x v="4"/>
          </reference>
        </references>
      </pivotArea>
    </chartFormat>
    <chartFormat chart="51" format="41">
      <pivotArea type="data" outline="0" fieldPosition="0">
        <references count="2">
          <reference field="4294967294" count="1" selected="0">
            <x v="0"/>
          </reference>
          <reference field="6" count="1" selected="0">
            <x v="0"/>
          </reference>
        </references>
      </pivotArea>
    </chartFormat>
    <chartFormat chart="51" format="42">
      <pivotArea type="data" outline="0" fieldPosition="0">
        <references count="2">
          <reference field="4294967294" count="1" selected="0">
            <x v="0"/>
          </reference>
          <reference field="6" count="1" selected="0">
            <x v="2"/>
          </reference>
        </references>
      </pivotArea>
    </chartFormat>
    <chartFormat chart="51" format="43">
      <pivotArea type="data" outline="0" fieldPosition="0">
        <references count="2">
          <reference field="4294967294" count="1" selected="0">
            <x v="0"/>
          </reference>
          <reference field="6" count="1" selected="0">
            <x v="1"/>
          </reference>
        </references>
      </pivotArea>
    </chartFormat>
    <chartFormat chart="51" format="44">
      <pivotArea type="data" outline="0" fieldPosition="0">
        <references count="2">
          <reference field="4294967294" count="1" selected="0">
            <x v="0"/>
          </reference>
          <reference field="6" count="1" selected="0">
            <x v="4"/>
          </reference>
        </references>
      </pivotArea>
    </chartFormat>
    <chartFormat chart="51" format="45">
      <pivotArea type="data" outline="0" fieldPosition="0">
        <references count="2">
          <reference field="4294967294" count="1" selected="0">
            <x v="0"/>
          </reference>
          <reference field="6" count="1" selected="0">
            <x v="3"/>
          </reference>
        </references>
      </pivotArea>
    </chartFormat>
    <chartFormat chart="51" format="4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years wise attrition" cacheId="53"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20">
  <location ref="A23:B29" firstHeaderRow="1" firstDataRow="1" firstDataCol="1" rowPageCount="1" colPageCount="1"/>
  <pivotFields count="22">
    <pivotField dataField="1" showAll="0"/>
    <pivotField showAll="0"/>
    <pivotField showAll="0"/>
    <pivotField showAll="0"/>
    <pivotField showAll="0">
      <items count="3">
        <item x="1"/>
        <item x="0"/>
        <item t="default"/>
      </items>
    </pivotField>
    <pivotField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axis="axisPage" multipleItemSelectionAllowed="1" showAll="0">
      <items count="3">
        <item h="1" x="0"/>
        <item x="1"/>
        <item t="default"/>
      </items>
    </pivotField>
    <pivotField showAll="0"/>
    <pivotField numFmtId="3" showAll="0"/>
    <pivotField showAll="0"/>
    <pivotField axis="axisRow" showAll="0">
      <items count="6">
        <item x="1"/>
        <item x="3"/>
        <item x="2"/>
        <item x="4"/>
        <item x="0"/>
        <item t="default"/>
      </items>
    </pivotField>
    <pivotField showAll="0"/>
    <pivotField showAll="0"/>
    <pivotField showAll="0"/>
    <pivotField showAll="0"/>
    <pivotField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13"/>
  </rowFields>
  <rowItems count="6">
    <i>
      <x/>
    </i>
    <i>
      <x v="1"/>
    </i>
    <i>
      <x v="2"/>
    </i>
    <i>
      <x v="3"/>
    </i>
    <i>
      <x v="4"/>
    </i>
    <i t="grand">
      <x/>
    </i>
  </rowItems>
  <colItems count="1">
    <i/>
  </colItems>
  <pageFields count="1">
    <pageField fld="9" hier="-1"/>
  </pageFields>
  <dataFields count="1">
    <dataField name="Count of Employe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gender wise attrition" cacheId="53"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9">
  <location ref="D8:E11" firstHeaderRow="1" firstDataRow="1" firstDataCol="1"/>
  <pivotFields count="22">
    <pivotField showAll="0"/>
    <pivotField dataField="1" showAll="0"/>
    <pivotField showAll="0"/>
    <pivotField showAll="0"/>
    <pivotField showAll="0">
      <items count="3">
        <item x="1"/>
        <item x="0"/>
        <item t="default"/>
      </items>
    </pivotField>
    <pivotField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axis="axisRow" showAll="0">
      <items count="3">
        <item x="0"/>
        <item x="1"/>
        <item t="default"/>
      </items>
    </pivotField>
    <pivotField showAll="0"/>
    <pivotField numFmtId="3" showAll="0"/>
    <pivotField showAll="0"/>
    <pivotField showAll="0"/>
    <pivotField showAll="0"/>
    <pivotField showAll="0"/>
    <pivotField showAll="0"/>
    <pivotField showAl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0">
        <item sd="0" x="0"/>
        <item sd="0" x="1"/>
        <item sd="0" x="2"/>
        <item sd="0" x="3"/>
        <item sd="0" x="4"/>
        <item sd="0" x="5"/>
        <item sd="0" x="6"/>
        <item sd="0" x="7"/>
        <item sd="0" x="8"/>
        <item sd="0" x="9"/>
        <item sd="0" x="10"/>
        <item sd="0" x="11"/>
        <item sd="0" x="12"/>
        <item sd="0" x="13"/>
        <item sd="0" x="14"/>
        <item sd="0" x="15"/>
        <item sd="0" x="16"/>
        <item sd="0" x="17"/>
        <item sd="0" x="18"/>
        <item t="default"/>
      </items>
    </pivotField>
  </pivotFields>
  <rowFields count="1">
    <field x="9"/>
  </rowFields>
  <rowItems count="3">
    <i>
      <x/>
    </i>
    <i>
      <x v="1"/>
    </i>
    <i t="grand">
      <x/>
    </i>
  </rowItems>
  <colItems count="1">
    <i/>
  </colItems>
  <dataFields count="1">
    <dataField name="Count of Employee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city wise attrition" cacheId="53"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45">
  <location ref="G3:H12" firstHeaderRow="1" firstDataRow="1" firstDataCol="1" rowPageCount="1" colPageCount="1"/>
  <pivotFields count="22">
    <pivotField dataField="1" showAll="0"/>
    <pivotField showAll="0"/>
    <pivotField showAll="0"/>
    <pivotField showAll="0"/>
    <pivotField showAll="0">
      <items count="3">
        <item x="1"/>
        <item x="0"/>
        <item t="default"/>
      </items>
    </pivotField>
    <pivotField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axis="axisPage" multipleItemSelectionAllowed="1" showAll="0">
      <items count="3">
        <item h="1" x="0"/>
        <item x="1"/>
        <item t="default"/>
      </items>
    </pivotField>
    <pivotField showAll="0"/>
    <pivotField numFmtId="3" showAll="0"/>
    <pivotField showAll="0"/>
    <pivotField showAll="0"/>
    <pivotField showAll="0"/>
    <pivotField showAll="0"/>
    <pivotField axis="axisRow" showAll="0">
      <items count="9">
        <item x="7"/>
        <item x="3"/>
        <item x="0"/>
        <item x="2"/>
        <item x="4"/>
        <item x="5"/>
        <item x="6"/>
        <item x="1"/>
        <item t="default"/>
      </items>
    </pivotField>
    <pivotField showAll="0"/>
    <pivotField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16"/>
  </rowFields>
  <rowItems count="9">
    <i>
      <x/>
    </i>
    <i>
      <x v="1"/>
    </i>
    <i>
      <x v="2"/>
    </i>
    <i>
      <x v="3"/>
    </i>
    <i>
      <x v="4"/>
    </i>
    <i>
      <x v="5"/>
    </i>
    <i>
      <x v="6"/>
    </i>
    <i>
      <x v="7"/>
    </i>
    <i t="grand">
      <x/>
    </i>
  </rowItems>
  <colItems count="1">
    <i/>
  </colItems>
  <pageFields count="1">
    <pageField fld="9" hier="-1"/>
  </pageFields>
  <dataFields count="1">
    <dataField name="Count of Employee_ID" fld="0" subtotal="count"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department wise attrition" cacheId="53" applyNumberFormats="0" applyBorderFormats="0" applyFontFormats="0" applyPatternFormats="0" applyAlignmentFormats="0" applyWidthHeightFormats="1" dataCaption="Values" updatedVersion="5" minRefreshableVersion="3" itemPrintTitles="1" createdVersion="8" indent="0" outline="1" outlineData="1" multipleFieldFilters="0" chartFormat="55">
  <location ref="B86:C95" firstHeaderRow="1" firstDataRow="1" firstDataCol="1" rowPageCount="1" colPageCount="1"/>
  <pivotFields count="22">
    <pivotField dataField="1" showAll="0"/>
    <pivotField showAll="0"/>
    <pivotField showAll="0"/>
    <pivotField showAll="0"/>
    <pivotField showAll="0">
      <items count="3">
        <item x="1"/>
        <item x="0"/>
        <item t="default"/>
      </items>
    </pivotField>
    <pivotField axis="axisRow" multipleItemSelectionAllowed="1"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axis="axisPage" multipleItemSelectionAllowed="1" showAll="0">
      <items count="3">
        <item h="1" x="0"/>
        <item x="1"/>
        <item t="default"/>
      </items>
    </pivotField>
    <pivotField showAll="0"/>
    <pivotField numFmtId="3" showAll="0"/>
    <pivotField showAll="0"/>
    <pivotField showAll="0"/>
    <pivotField showAll="0"/>
    <pivotField showAll="0"/>
    <pivotField showAll="0"/>
    <pivotField showAll="0"/>
    <pivotField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5"/>
  </rowFields>
  <rowItems count="9">
    <i>
      <x/>
    </i>
    <i>
      <x v="1"/>
    </i>
    <i>
      <x v="2"/>
    </i>
    <i>
      <x v="3"/>
    </i>
    <i>
      <x v="4"/>
    </i>
    <i>
      <x v="5"/>
    </i>
    <i>
      <x v="6"/>
    </i>
    <i>
      <x v="7"/>
    </i>
    <i t="grand">
      <x/>
    </i>
  </rowItems>
  <colItems count="1">
    <i/>
  </colItems>
  <pageFields count="1">
    <pageField fld="9" hier="-1"/>
  </pageFields>
  <dataFields count="1">
    <dataField name="Count of Employee_ID" fld="0" subtotal="count" baseField="0" baseItem="0"/>
  </dataFields>
  <chartFormats count="3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5" count="1" selected="0">
            <x v="1"/>
          </reference>
        </references>
      </pivotArea>
    </chartFormat>
    <chartFormat chart="0" format="4" series="1">
      <pivotArea type="data" outline="0" fieldPosition="0">
        <references count="2">
          <reference field="4294967294" count="1" selected="0">
            <x v="0"/>
          </reference>
          <reference field="5" count="1" selected="0">
            <x v="2"/>
          </reference>
        </references>
      </pivotArea>
    </chartFormat>
    <chartFormat chart="0" format="5" series="1">
      <pivotArea type="data" outline="0" fieldPosition="0">
        <references count="2">
          <reference field="4294967294" count="1" selected="0">
            <x v="0"/>
          </reference>
          <reference field="5" count="1" selected="0">
            <x v="3"/>
          </reference>
        </references>
      </pivotArea>
    </chartFormat>
    <chartFormat chart="0" format="6" series="1">
      <pivotArea type="data" outline="0" fieldPosition="0">
        <references count="2">
          <reference field="4294967294" count="1" selected="0">
            <x v="0"/>
          </reference>
          <reference field="5" count="1" selected="0">
            <x v="4"/>
          </reference>
        </references>
      </pivotArea>
    </chartFormat>
    <chartFormat chart="0" format="7" series="1">
      <pivotArea type="data" outline="0" fieldPosition="0">
        <references count="2">
          <reference field="4294967294" count="1" selected="0">
            <x v="0"/>
          </reference>
          <reference field="5" count="1" selected="0">
            <x v="5"/>
          </reference>
        </references>
      </pivotArea>
    </chartFormat>
    <chartFormat chart="0" format="8" series="1">
      <pivotArea type="data" outline="0" fieldPosition="0">
        <references count="2">
          <reference field="4294967294" count="1" selected="0">
            <x v="0"/>
          </reference>
          <reference field="5" count="1" selected="0">
            <x v="6"/>
          </reference>
        </references>
      </pivotArea>
    </chartFormat>
    <chartFormat chart="0" format="9" series="1">
      <pivotArea type="data" outline="0" fieldPosition="0">
        <references count="2">
          <reference field="4294967294" count="1" selected="0">
            <x v="0"/>
          </reference>
          <reference field="5" count="1" selected="0">
            <x v="7"/>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2">
          <reference field="4294967294" count="1" selected="0">
            <x v="0"/>
          </reference>
          <reference field="5" count="1" selected="0">
            <x v="0"/>
          </reference>
        </references>
      </pivotArea>
    </chartFormat>
    <chartFormat chart="23" format="1" series="1">
      <pivotArea type="data" outline="0" fieldPosition="0">
        <references count="2">
          <reference field="4294967294" count="1" selected="0">
            <x v="0"/>
          </reference>
          <reference field="5" count="1" selected="0">
            <x v="1"/>
          </reference>
        </references>
      </pivotArea>
    </chartFormat>
    <chartFormat chart="23" format="2" series="1">
      <pivotArea type="data" outline="0" fieldPosition="0">
        <references count="2">
          <reference field="4294967294" count="1" selected="0">
            <x v="0"/>
          </reference>
          <reference field="5" count="1" selected="0">
            <x v="2"/>
          </reference>
        </references>
      </pivotArea>
    </chartFormat>
    <chartFormat chart="23" format="3" series="1">
      <pivotArea type="data" outline="0" fieldPosition="0">
        <references count="2">
          <reference field="4294967294" count="1" selected="0">
            <x v="0"/>
          </reference>
          <reference field="5" count="1" selected="0">
            <x v="3"/>
          </reference>
        </references>
      </pivotArea>
    </chartFormat>
    <chartFormat chart="23" format="4" series="1">
      <pivotArea type="data" outline="0" fieldPosition="0">
        <references count="2">
          <reference field="4294967294" count="1" selected="0">
            <x v="0"/>
          </reference>
          <reference field="5" count="1" selected="0">
            <x v="4"/>
          </reference>
        </references>
      </pivotArea>
    </chartFormat>
    <chartFormat chart="23" format="5" series="1">
      <pivotArea type="data" outline="0" fieldPosition="0">
        <references count="2">
          <reference field="4294967294" count="1" selected="0">
            <x v="0"/>
          </reference>
          <reference field="5" count="1" selected="0">
            <x v="5"/>
          </reference>
        </references>
      </pivotArea>
    </chartFormat>
    <chartFormat chart="23" format="6" series="1">
      <pivotArea type="data" outline="0" fieldPosition="0">
        <references count="2">
          <reference field="4294967294" count="1" selected="0">
            <x v="0"/>
          </reference>
          <reference field="5" count="1" selected="0">
            <x v="6"/>
          </reference>
        </references>
      </pivotArea>
    </chartFormat>
    <chartFormat chart="23" format="7" series="1">
      <pivotArea type="data" outline="0" fieldPosition="0">
        <references count="2">
          <reference field="4294967294" count="1" selected="0">
            <x v="0"/>
          </reference>
          <reference field="5" count="1" selected="0">
            <x v="7"/>
          </reference>
        </references>
      </pivotArea>
    </chartFormat>
    <chartFormat chart="43" format="62" series="1">
      <pivotArea type="data" outline="0" fieldPosition="0">
        <references count="2">
          <reference field="4294967294" count="1" selected="0">
            <x v="0"/>
          </reference>
          <reference field="5" count="1" selected="0">
            <x v="0"/>
          </reference>
        </references>
      </pivotArea>
    </chartFormat>
    <chartFormat chart="43" format="63">
      <pivotArea type="data" outline="0" fieldPosition="0">
        <references count="2">
          <reference field="4294967294" count="1" selected="0">
            <x v="0"/>
          </reference>
          <reference field="5" count="1" selected="0">
            <x v="0"/>
          </reference>
        </references>
      </pivotArea>
    </chartFormat>
    <chartFormat chart="43" format="64" series="1">
      <pivotArea type="data" outline="0" fieldPosition="0">
        <references count="2">
          <reference field="4294967294" count="1" selected="0">
            <x v="0"/>
          </reference>
          <reference field="5" count="1" selected="0">
            <x v="1"/>
          </reference>
        </references>
      </pivotArea>
    </chartFormat>
    <chartFormat chart="43" format="65">
      <pivotArea type="data" outline="0" fieldPosition="0">
        <references count="2">
          <reference field="4294967294" count="1" selected="0">
            <x v="0"/>
          </reference>
          <reference field="5" count="1" selected="0">
            <x v="1"/>
          </reference>
        </references>
      </pivotArea>
    </chartFormat>
    <chartFormat chart="43" format="66" series="1">
      <pivotArea type="data" outline="0" fieldPosition="0">
        <references count="2">
          <reference field="4294967294" count="1" selected="0">
            <x v="0"/>
          </reference>
          <reference field="5" count="1" selected="0">
            <x v="2"/>
          </reference>
        </references>
      </pivotArea>
    </chartFormat>
    <chartFormat chart="43" format="67">
      <pivotArea type="data" outline="0" fieldPosition="0">
        <references count="2">
          <reference field="4294967294" count="1" selected="0">
            <x v="0"/>
          </reference>
          <reference field="5" count="1" selected="0">
            <x v="2"/>
          </reference>
        </references>
      </pivotArea>
    </chartFormat>
    <chartFormat chart="43" format="68" series="1">
      <pivotArea type="data" outline="0" fieldPosition="0">
        <references count="2">
          <reference field="4294967294" count="1" selected="0">
            <x v="0"/>
          </reference>
          <reference field="5" count="1" selected="0">
            <x v="3"/>
          </reference>
        </references>
      </pivotArea>
    </chartFormat>
    <chartFormat chart="43" format="69" series="1">
      <pivotArea type="data" outline="0" fieldPosition="0">
        <references count="2">
          <reference field="4294967294" count="1" selected="0">
            <x v="0"/>
          </reference>
          <reference field="5" count="1" selected="0">
            <x v="4"/>
          </reference>
        </references>
      </pivotArea>
    </chartFormat>
    <chartFormat chart="43" format="70">
      <pivotArea type="data" outline="0" fieldPosition="0">
        <references count="2">
          <reference field="4294967294" count="1" selected="0">
            <x v="0"/>
          </reference>
          <reference field="5" count="1" selected="0">
            <x v="4"/>
          </reference>
        </references>
      </pivotArea>
    </chartFormat>
    <chartFormat chart="43" format="71" series="1">
      <pivotArea type="data" outline="0" fieldPosition="0">
        <references count="2">
          <reference field="4294967294" count="1" selected="0">
            <x v="0"/>
          </reference>
          <reference field="5" count="1" selected="0">
            <x v="5"/>
          </reference>
        </references>
      </pivotArea>
    </chartFormat>
    <chartFormat chart="43" format="72">
      <pivotArea type="data" outline="0" fieldPosition="0">
        <references count="2">
          <reference field="4294967294" count="1" selected="0">
            <x v="0"/>
          </reference>
          <reference field="5" count="1" selected="0">
            <x v="5"/>
          </reference>
        </references>
      </pivotArea>
    </chartFormat>
    <chartFormat chart="43" format="73" series="1">
      <pivotArea type="data" outline="0" fieldPosition="0">
        <references count="2">
          <reference field="4294967294" count="1" selected="0">
            <x v="0"/>
          </reference>
          <reference field="5" count="1" selected="0">
            <x v="6"/>
          </reference>
        </references>
      </pivotArea>
    </chartFormat>
    <chartFormat chart="43" format="74">
      <pivotArea type="data" outline="0" fieldPosition="0">
        <references count="2">
          <reference field="4294967294" count="1" selected="0">
            <x v="0"/>
          </reference>
          <reference field="5" count="1" selected="0">
            <x v="6"/>
          </reference>
        </references>
      </pivotArea>
    </chartFormat>
    <chartFormat chart="43" format="75" series="1">
      <pivotArea type="data" outline="0" fieldPosition="0">
        <references count="2">
          <reference field="4294967294" count="1" selected="0">
            <x v="0"/>
          </reference>
          <reference field="5" count="1" selected="0">
            <x v="7"/>
          </reference>
        </references>
      </pivotArea>
    </chartFormat>
    <chartFormat chart="43" format="76">
      <pivotArea type="data" outline="0" fieldPosition="0">
        <references count="2">
          <reference field="4294967294" count="1" selected="0">
            <x v="0"/>
          </reference>
          <reference field="5" count="1" selected="0">
            <x v="7"/>
          </reference>
        </references>
      </pivotArea>
    </chartFormat>
    <chartFormat chart="43" format="77">
      <pivotArea type="data" outline="0" fieldPosition="0">
        <references count="2">
          <reference field="4294967294" count="1" selected="0">
            <x v="0"/>
          </reference>
          <reference field="5" count="1" selected="0">
            <x v="3"/>
          </reference>
        </references>
      </pivotArea>
    </chartFormat>
    <chartFormat chart="43" format="7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salary wise attrition" cacheId="53"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35">
  <location ref="J14:K21" firstHeaderRow="1" firstDataRow="1" firstDataCol="1"/>
  <pivotFields count="22">
    <pivotField dataField="1" showAll="0"/>
    <pivotField showAll="0"/>
    <pivotField showAll="0"/>
    <pivotField showAll="0"/>
    <pivotField showAll="0">
      <items count="3">
        <item x="1"/>
        <item x="0"/>
        <item t="default"/>
      </items>
    </pivotField>
    <pivotField showAll="0">
      <items count="9">
        <item x="5"/>
        <item x="0"/>
        <item x="6"/>
        <item x="4"/>
        <item x="7"/>
        <item x="3"/>
        <item x="1"/>
        <item x="2"/>
        <item t="default"/>
      </items>
    </pivotField>
    <pivotField showAll="0">
      <items count="6">
        <item x="0"/>
        <item x="3"/>
        <item x="2"/>
        <item x="1"/>
        <item x="4"/>
        <item t="default"/>
      </items>
    </pivotField>
    <pivotField numFmtId="164" showAll="0">
      <items count="383">
        <item x="295"/>
        <item x="332"/>
        <item x="55"/>
        <item x="363"/>
        <item x="256"/>
        <item x="310"/>
        <item x="117"/>
        <item x="107"/>
        <item x="67"/>
        <item x="320"/>
        <item x="283"/>
        <item x="260"/>
        <item x="133"/>
        <item x="271"/>
        <item x="350"/>
        <item x="272"/>
        <item x="119"/>
        <item x="277"/>
        <item x="216"/>
        <item x="23"/>
        <item x="144"/>
        <item x="0"/>
        <item x="96"/>
        <item x="381"/>
        <item x="89"/>
        <item x="1"/>
        <item x="190"/>
        <item x="348"/>
        <item x="180"/>
        <item x="312"/>
        <item x="337"/>
        <item x="193"/>
        <item x="213"/>
        <item x="217"/>
        <item x="339"/>
        <item x="68"/>
        <item x="76"/>
        <item x="369"/>
        <item x="91"/>
        <item x="333"/>
        <item x="16"/>
        <item x="25"/>
        <item x="166"/>
        <item x="346"/>
        <item x="282"/>
        <item x="65"/>
        <item x="330"/>
        <item x="113"/>
        <item x="274"/>
        <item x="195"/>
        <item x="205"/>
        <item x="21"/>
        <item x="164"/>
        <item x="242"/>
        <item x="244"/>
        <item x="358"/>
        <item x="61"/>
        <item x="243"/>
        <item x="258"/>
        <item x="206"/>
        <item x="116"/>
        <item x="186"/>
        <item x="222"/>
        <item x="106"/>
        <item x="100"/>
        <item x="285"/>
        <item x="300"/>
        <item x="264"/>
        <item x="99"/>
        <item x="126"/>
        <item x="19"/>
        <item x="32"/>
        <item x="224"/>
        <item x="334"/>
        <item x="132"/>
        <item x="97"/>
        <item x="328"/>
        <item x="232"/>
        <item x="289"/>
        <item x="309"/>
        <item x="87"/>
        <item x="275"/>
        <item x="210"/>
        <item x="219"/>
        <item x="83"/>
        <item x="185"/>
        <item x="268"/>
        <item x="151"/>
        <item x="130"/>
        <item x="147"/>
        <item x="30"/>
        <item x="198"/>
        <item x="82"/>
        <item x="352"/>
        <item x="370"/>
        <item x="168"/>
        <item x="265"/>
        <item x="70"/>
        <item x="36"/>
        <item x="360"/>
        <item x="150"/>
        <item x="263"/>
        <item x="139"/>
        <item x="136"/>
        <item x="225"/>
        <item x="101"/>
        <item x="204"/>
        <item x="165"/>
        <item x="345"/>
        <item x="231"/>
        <item x="207"/>
        <item x="62"/>
        <item x="377"/>
        <item x="140"/>
        <item x="85"/>
        <item x="94"/>
        <item x="63"/>
        <item x="378"/>
        <item x="307"/>
        <item x="373"/>
        <item x="152"/>
        <item x="159"/>
        <item x="90"/>
        <item x="298"/>
        <item x="20"/>
        <item x="238"/>
        <item x="200"/>
        <item x="249"/>
        <item x="26"/>
        <item x="73"/>
        <item x="362"/>
        <item x="227"/>
        <item x="162"/>
        <item x="197"/>
        <item x="72"/>
        <item x="251"/>
        <item x="276"/>
        <item x="212"/>
        <item x="174"/>
        <item x="280"/>
        <item x="347"/>
        <item x="342"/>
        <item x="208"/>
        <item x="110"/>
        <item x="167"/>
        <item x="148"/>
        <item x="71"/>
        <item x="14"/>
        <item x="153"/>
        <item x="161"/>
        <item x="278"/>
        <item x="103"/>
        <item x="302"/>
        <item x="247"/>
        <item x="372"/>
        <item x="314"/>
        <item x="77"/>
        <item x="146"/>
        <item x="179"/>
        <item x="286"/>
        <item x="239"/>
        <item x="273"/>
        <item x="351"/>
        <item x="75"/>
        <item x="95"/>
        <item x="58"/>
        <item x="98"/>
        <item x="128"/>
        <item x="69"/>
        <item x="365"/>
        <item x="10"/>
        <item x="343"/>
        <item x="181"/>
        <item x="326"/>
        <item x="221"/>
        <item x="380"/>
        <item x="79"/>
        <item x="88"/>
        <item x="349"/>
        <item x="9"/>
        <item x="5"/>
        <item x="123"/>
        <item x="3"/>
        <item x="284"/>
        <item x="18"/>
        <item x="374"/>
        <item x="124"/>
        <item x="311"/>
        <item x="299"/>
        <item x="137"/>
        <item x="331"/>
        <item x="187"/>
        <item x="155"/>
        <item x="218"/>
        <item x="56"/>
        <item x="182"/>
        <item x="154"/>
        <item x="33"/>
        <item x="303"/>
        <item x="196"/>
        <item x="252"/>
        <item x="141"/>
        <item x="235"/>
        <item x="50"/>
        <item x="129"/>
        <item x="173"/>
        <item x="160"/>
        <item x="230"/>
        <item x="356"/>
        <item x="47"/>
        <item x="296"/>
        <item x="28"/>
        <item x="319"/>
        <item x="24"/>
        <item x="329"/>
        <item x="64"/>
        <item x="17"/>
        <item x="34"/>
        <item x="41"/>
        <item x="57"/>
        <item x="170"/>
        <item x="93"/>
        <item x="269"/>
        <item x="240"/>
        <item x="176"/>
        <item x="292"/>
        <item x="178"/>
        <item x="353"/>
        <item x="84"/>
        <item x="279"/>
        <item x="327"/>
        <item x="341"/>
        <item x="172"/>
        <item x="368"/>
        <item x="203"/>
        <item x="60"/>
        <item x="143"/>
        <item x="111"/>
        <item x="281"/>
        <item x="270"/>
        <item x="13"/>
        <item x="246"/>
        <item x="315"/>
        <item x="131"/>
        <item x="357"/>
        <item x="43"/>
        <item x="361"/>
        <item x="223"/>
        <item x="44"/>
        <item x="135"/>
        <item x="335"/>
        <item x="317"/>
        <item x="294"/>
        <item x="80"/>
        <item x="253"/>
        <item x="53"/>
        <item x="74"/>
        <item x="305"/>
        <item x="121"/>
        <item x="266"/>
        <item x="105"/>
        <item x="171"/>
        <item x="37"/>
        <item x="189"/>
        <item x="194"/>
        <item x="118"/>
        <item x="8"/>
        <item x="355"/>
        <item x="52"/>
        <item x="234"/>
        <item x="38"/>
        <item x="322"/>
        <item x="51"/>
        <item x="236"/>
        <item x="202"/>
        <item x="59"/>
        <item x="228"/>
        <item x="379"/>
        <item x="120"/>
        <item x="376"/>
        <item x="229"/>
        <item x="237"/>
        <item x="122"/>
        <item x="104"/>
        <item x="40"/>
        <item x="177"/>
        <item x="46"/>
        <item x="257"/>
        <item x="127"/>
        <item x="115"/>
        <item x="45"/>
        <item x="293"/>
        <item x="29"/>
        <item x="259"/>
        <item x="183"/>
        <item x="49"/>
        <item x="336"/>
        <item x="262"/>
        <item x="188"/>
        <item x="145"/>
        <item x="366"/>
        <item x="261"/>
        <item x="267"/>
        <item x="297"/>
        <item x="371"/>
        <item x="4"/>
        <item x="134"/>
        <item x="288"/>
        <item x="211"/>
        <item x="149"/>
        <item x="321"/>
        <item x="290"/>
        <item x="102"/>
        <item x="255"/>
        <item x="308"/>
        <item x="192"/>
        <item x="191"/>
        <item x="6"/>
        <item x="359"/>
        <item x="156"/>
        <item x="344"/>
        <item x="2"/>
        <item x="108"/>
        <item x="199"/>
        <item x="114"/>
        <item x="364"/>
        <item x="86"/>
        <item x="367"/>
        <item x="245"/>
        <item x="27"/>
        <item x="248"/>
        <item x="304"/>
        <item x="109"/>
        <item x="306"/>
        <item x="209"/>
        <item x="31"/>
        <item x="163"/>
        <item x="254"/>
        <item x="22"/>
        <item x="142"/>
        <item x="157"/>
        <item x="250"/>
        <item x="112"/>
        <item x="54"/>
        <item x="66"/>
        <item x="354"/>
        <item x="138"/>
        <item x="241"/>
        <item x="81"/>
        <item x="158"/>
        <item x="313"/>
        <item x="325"/>
        <item x="48"/>
        <item x="287"/>
        <item x="125"/>
        <item x="338"/>
        <item x="214"/>
        <item x="184"/>
        <item x="226"/>
        <item x="11"/>
        <item x="318"/>
        <item x="35"/>
        <item x="301"/>
        <item x="375"/>
        <item x="78"/>
        <item x="175"/>
        <item x="201"/>
        <item x="316"/>
        <item x="39"/>
        <item x="340"/>
        <item x="323"/>
        <item x="92"/>
        <item x="215"/>
        <item x="169"/>
        <item x="324"/>
        <item x="291"/>
        <item x="7"/>
        <item x="15"/>
        <item x="233"/>
        <item x="42"/>
        <item x="220"/>
        <item x="12"/>
        <item t="default"/>
      </items>
    </pivotField>
    <pivotField showAll="0"/>
    <pivotField axis="axisRow" showAll="0">
      <items count="3">
        <item h="1" x="0"/>
        <item x="1"/>
        <item t="default"/>
      </items>
    </pivotField>
    <pivotField showAll="0"/>
    <pivotField numFmtId="3" showAll="0"/>
    <pivotField axis="axisRow" showAll="0">
      <items count="6">
        <item x="0"/>
        <item x="2"/>
        <item x="1"/>
        <item x="3"/>
        <item x="4"/>
        <item t="default"/>
      </items>
    </pivotField>
    <pivotField showAll="0"/>
    <pivotField showAll="0"/>
    <pivotField showAll="0"/>
    <pivotField showAll="0"/>
    <pivotField showAll="0"/>
    <pivotField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2">
    <field x="9"/>
    <field x="12"/>
  </rowFields>
  <rowItems count="7">
    <i>
      <x v="1"/>
    </i>
    <i r="1">
      <x/>
    </i>
    <i r="1">
      <x v="1"/>
    </i>
    <i r="1">
      <x v="2"/>
    </i>
    <i r="1">
      <x v="3"/>
    </i>
    <i r="1">
      <x v="4"/>
    </i>
    <i t="grand">
      <x/>
    </i>
  </rowItems>
  <colItems count="1">
    <i/>
  </colItems>
  <dataFields count="1">
    <dataField name="Count of Employee_ID" fld="0" subtotal="count" baseField="0" baseItem="0"/>
  </dataFields>
  <chartFormats count="3">
    <chartFormat chart="17"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city wise attrition"/>
    <pivotTable tabId="2" name="total employees"/>
    <pivotTable tabId="2" name="hiring wisee attrition"/>
    <pivotTable tabId="2" name="year wise resignation"/>
    <pivotTable tabId="2" name="average salary"/>
    <pivotTable tabId="2" name="gender wise malle &amp; female"/>
    <pivotTable tabId="2" name="salary wise attrition"/>
    <pivotTable tabId="2" name="department wise attrition"/>
    <pivotTable tabId="2" name="education wise attrition"/>
    <pivotTable tabId="2" name="gender wise attrition"/>
    <pivotTable tabId="2" name="years wise attrition"/>
  </pivotTables>
  <data>
    <tabular pivotCacheId="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city wise attrition"/>
    <pivotTable tabId="2" name="total employees"/>
    <pivotTable tabId="2" name="hiring wisee attrition"/>
    <pivotTable tabId="2" name="year wise resignation"/>
    <pivotTable tabId="2" name="average salary"/>
    <pivotTable tabId="2" name="gender wise malle &amp; female"/>
    <pivotTable tabId="2" name="salary wise attrition"/>
    <pivotTable tabId="2" name="department wise attrition"/>
    <pivotTable tabId="2" name="education wise attrition"/>
    <pivotTable tabId="2" name="gender wise attrition"/>
    <pivotTable tabId="2" name="years wise attrition"/>
  </pivotTables>
  <data>
    <tabular pivotCacheId="1">
      <items count="8">
        <i x="5" s="1"/>
        <i x="0" s="1"/>
        <i x="6" s="1"/>
        <i x="4" s="1"/>
        <i x="7"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city wise attrition"/>
    <pivotTable tabId="2" name="total employees"/>
    <pivotTable tabId="2" name="hiring wisee attrition"/>
    <pivotTable tabId="2" name="year wise resignation"/>
    <pivotTable tabId="2" name="average salary"/>
    <pivotTable tabId="2" name="gender wise malle &amp; female"/>
    <pivotTable tabId="2" name="salary wise attrition"/>
    <pivotTable tabId="2" name="department wise attrition"/>
    <pivotTable tabId="2" name="education wise attrition"/>
    <pivotTable tabId="2" name="gender wise attrition"/>
    <pivotTable tabId="2" name="years wise attrition"/>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ducation" cache="Slicer_Education" caption="Education" style="SlicerStyleLight4" rowHeight="365760"/>
  <slicer name="Department" cache="Slicer_Department" caption="Department" rowHeight="274320"/>
  <slicer name="Gender" cache="Slicer_Gender" caption="Gender" rowHeight="365760"/>
</slicers>
</file>

<file path=xl/tables/table1.xml><?xml version="1.0" encoding="utf-8"?>
<table xmlns="http://schemas.openxmlformats.org/spreadsheetml/2006/main" id="2" name="Table2" displayName="Table2" ref="A1:S46" totalsRowShown="0">
  <autoFilter ref="A1:S46"/>
  <tableColumns count="19">
    <tableColumn id="1" name="Employee_ID"/>
    <tableColumn id="2" name="Employee_Name"/>
    <tableColumn id="3" name="Age"/>
    <tableColumn id="4" name="Age_Group"/>
    <tableColumn id="5" name="Gender"/>
    <tableColumn id="6" name="Department"/>
    <tableColumn id="7" name="Education"/>
    <tableColumn id="8" name="Hire_Date" dataDxfId="2"/>
    <tableColumn id="9" name="Exit_Date" dataDxfId="1"/>
    <tableColumn id="10" name="Attrition"/>
    <tableColumn id="11" name="Performance_Rating"/>
    <tableColumn id="12" name="Monthly_Salary_INR"/>
    <tableColumn id="13" name="Salary_Band"/>
    <tableColumn id="14" name="Tenure_Band"/>
    <tableColumn id="15" name="Tenure_Years"/>
    <tableColumn id="16" name="Recruitment_Source"/>
    <tableColumn id="17" name="Work_Location"/>
    <tableColumn id="18" name="Hire_Year"/>
    <tableColumn id="19" name="Month of attrition"/>
  </tableColumns>
  <tableStyleInfo name="TableStyleMedium2" showFirstColumn="0" showLastColumn="0" showRowStripes="1" showColumnStripes="0"/>
</table>
</file>

<file path=xl/tables/table2.xml><?xml version="1.0" encoding="utf-8"?>
<table xmlns="http://schemas.openxmlformats.org/spreadsheetml/2006/main" id="1" name="HR_Employees" displayName="HR_Employees" ref="A1:S1002" totalsRowCount="1">
  <autoFilter ref="A1:S1001"/>
  <tableColumns count="19">
    <tableColumn id="1" name="Employee_ID"/>
    <tableColumn id="2" name="Employee_Name"/>
    <tableColumn id="3" name="Age"/>
    <tableColumn id="4" name="Age_Group"/>
    <tableColumn id="5" name="Gender"/>
    <tableColumn id="6" name="Department"/>
    <tableColumn id="7" name="Education"/>
    <tableColumn id="8" name="Hire_Date"/>
    <tableColumn id="9" name="Exit_Date">
      <calculatedColumnFormula>IFERROR(VLOOKUP(HR_Employees[[#This Row],[Employee_ID]],'[1]Synthetic Exit Data'!$A$2:$E$235,4,0)," NA")</calculatedColumnFormula>
    </tableColumn>
    <tableColumn id="10" name="Attrition"/>
    <tableColumn id="11" name="Performance_Rating"/>
    <tableColumn id="12" name="Monthly_Salary_INR"/>
    <tableColumn id="13" name="Salary_Band"/>
    <tableColumn id="14" name="Tenure_Band"/>
    <tableColumn id="15" name="Tenure_Years"/>
    <tableColumn id="16" name="Recruitment_Source"/>
    <tableColumn id="17" name="Work_Location"/>
    <tableColumn id="18" name="Hire_Year"/>
    <tableColumn id="19" name="YEAR of attrition" dataDxfId="0">
      <calculatedColumnFormula>IF(AND(HR_Employees[[#This Row],[Attrition]]="YES",HR_Employees[[#This Row],[Exit_Date]]&lt;&gt;""),YEAR(HR_Employees[[#This Row],[Exit_Date]]),"")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6"/>
  <sheetViews>
    <sheetView topLeftCell="B1" workbookViewId="0">
      <selection activeCell="G10" sqref="G10"/>
    </sheetView>
  </sheetViews>
  <sheetFormatPr defaultRowHeight="14.25"/>
  <cols>
    <col min="1" max="1" width="14.25" customWidth="1"/>
    <col min="2" max="2" width="17.375" customWidth="1"/>
    <col min="4" max="4" width="12.75" customWidth="1"/>
    <col min="5" max="5" width="9.5" customWidth="1"/>
    <col min="6" max="6" width="13.25" customWidth="1"/>
    <col min="7" max="8" width="11.625" customWidth="1"/>
    <col min="9" max="9" width="11.25" customWidth="1"/>
    <col min="10" max="10" width="9.75" customWidth="1"/>
    <col min="11" max="11" width="20.875" customWidth="1"/>
    <col min="12" max="12" width="20.375" customWidth="1"/>
    <col min="13" max="13" width="13.75" customWidth="1"/>
    <col min="14" max="14" width="14.875" customWidth="1"/>
    <col min="15" max="15" width="15.375" customWidth="1"/>
    <col min="16" max="16" width="21" customWidth="1"/>
    <col min="17" max="17" width="15.875" customWidth="1"/>
    <col min="18" max="18" width="11.625" customWidth="1"/>
    <col min="19" max="19" width="18"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1479</v>
      </c>
    </row>
    <row r="2" spans="1:19">
      <c r="A2" t="s">
        <v>1471</v>
      </c>
      <c r="B2" t="s">
        <v>393</v>
      </c>
      <c r="C2">
        <v>48</v>
      </c>
      <c r="D2" t="s">
        <v>20</v>
      </c>
      <c r="E2" t="s">
        <v>21</v>
      </c>
      <c r="F2" t="s">
        <v>55</v>
      </c>
      <c r="G2" t="s">
        <v>23</v>
      </c>
      <c r="H2" s="13">
        <v>44469</v>
      </c>
      <c r="I2" s="13">
        <v>46265</v>
      </c>
      <c r="J2" t="s">
        <v>49</v>
      </c>
      <c r="K2">
        <v>4</v>
      </c>
      <c r="L2">
        <v>93570</v>
      </c>
      <c r="M2" t="s">
        <v>66</v>
      </c>
      <c r="N2" t="s">
        <v>50</v>
      </c>
      <c r="O2">
        <v>4.92</v>
      </c>
      <c r="P2" t="s">
        <v>35</v>
      </c>
      <c r="Q2" t="s">
        <v>58</v>
      </c>
      <c r="R2">
        <v>2021</v>
      </c>
      <c r="S2">
        <v>8</v>
      </c>
    </row>
    <row r="3" spans="1:19">
      <c r="A3" t="s">
        <v>1436</v>
      </c>
      <c r="B3" t="s">
        <v>442</v>
      </c>
      <c r="C3">
        <v>25</v>
      </c>
      <c r="D3" t="s">
        <v>39</v>
      </c>
      <c r="E3" t="s">
        <v>21</v>
      </c>
      <c r="F3" t="s">
        <v>73</v>
      </c>
      <c r="G3" t="s">
        <v>23</v>
      </c>
      <c r="H3" s="13">
        <v>45215</v>
      </c>
      <c r="I3" s="13">
        <v>46250</v>
      </c>
      <c r="J3" t="s">
        <v>49</v>
      </c>
      <c r="K3">
        <v>3</v>
      </c>
      <c r="L3">
        <v>40147</v>
      </c>
      <c r="M3" t="s">
        <v>42</v>
      </c>
      <c r="N3" t="s">
        <v>56</v>
      </c>
      <c r="O3">
        <v>2.83</v>
      </c>
      <c r="P3" t="s">
        <v>35</v>
      </c>
      <c r="Q3" t="s">
        <v>58</v>
      </c>
      <c r="R3">
        <v>2023</v>
      </c>
      <c r="S3">
        <v>8</v>
      </c>
    </row>
    <row r="4" spans="1:19">
      <c r="A4" t="s">
        <v>1408</v>
      </c>
      <c r="B4" t="s">
        <v>656</v>
      </c>
      <c r="C4">
        <v>25</v>
      </c>
      <c r="D4" t="s">
        <v>39</v>
      </c>
      <c r="E4" t="s">
        <v>21</v>
      </c>
      <c r="F4" t="s">
        <v>55</v>
      </c>
      <c r="G4" t="s">
        <v>33</v>
      </c>
      <c r="H4" s="13">
        <v>40526</v>
      </c>
      <c r="I4" s="13">
        <v>46279</v>
      </c>
      <c r="J4" t="s">
        <v>49</v>
      </c>
      <c r="K4">
        <v>4</v>
      </c>
      <c r="L4">
        <v>35320</v>
      </c>
      <c r="M4" t="s">
        <v>42</v>
      </c>
      <c r="N4" t="s">
        <v>26</v>
      </c>
      <c r="O4">
        <v>15.75</v>
      </c>
      <c r="P4" t="s">
        <v>35</v>
      </c>
      <c r="Q4" t="s">
        <v>76</v>
      </c>
      <c r="R4">
        <v>2010</v>
      </c>
      <c r="S4">
        <v>9</v>
      </c>
    </row>
    <row r="5" spans="1:19">
      <c r="A5" t="s">
        <v>1374</v>
      </c>
      <c r="B5" t="s">
        <v>370</v>
      </c>
      <c r="C5">
        <v>46</v>
      </c>
      <c r="D5" t="s">
        <v>20</v>
      </c>
      <c r="E5" t="s">
        <v>21</v>
      </c>
      <c r="F5" t="s">
        <v>40</v>
      </c>
      <c r="G5" t="s">
        <v>23</v>
      </c>
      <c r="H5" s="13">
        <v>46097</v>
      </c>
      <c r="I5" s="13">
        <v>46250</v>
      </c>
      <c r="J5" t="s">
        <v>49</v>
      </c>
      <c r="K5">
        <v>3</v>
      </c>
      <c r="L5">
        <v>32922</v>
      </c>
      <c r="M5" t="s">
        <v>42</v>
      </c>
      <c r="N5" t="s">
        <v>43</v>
      </c>
      <c r="O5">
        <v>0.42</v>
      </c>
      <c r="P5" t="s">
        <v>35</v>
      </c>
      <c r="Q5" t="s">
        <v>28</v>
      </c>
      <c r="R5">
        <v>2026</v>
      </c>
      <c r="S5">
        <v>8</v>
      </c>
    </row>
    <row r="6" spans="1:19">
      <c r="A6" t="s">
        <v>1276</v>
      </c>
      <c r="B6" t="s">
        <v>646</v>
      </c>
      <c r="C6">
        <v>44</v>
      </c>
      <c r="D6" t="s">
        <v>61</v>
      </c>
      <c r="E6" t="s">
        <v>21</v>
      </c>
      <c r="F6" t="s">
        <v>109</v>
      </c>
      <c r="G6" t="s">
        <v>23</v>
      </c>
      <c r="H6" s="13">
        <v>42412</v>
      </c>
      <c r="I6" s="13">
        <v>46246</v>
      </c>
      <c r="J6" t="s">
        <v>49</v>
      </c>
      <c r="K6">
        <v>4</v>
      </c>
      <c r="L6">
        <v>145749</v>
      </c>
      <c r="M6" t="s">
        <v>25</v>
      </c>
      <c r="N6" t="s">
        <v>26</v>
      </c>
      <c r="O6">
        <v>10.5</v>
      </c>
      <c r="P6" t="s">
        <v>35</v>
      </c>
      <c r="Q6" t="s">
        <v>58</v>
      </c>
      <c r="R6">
        <v>2016</v>
      </c>
      <c r="S6">
        <v>8</v>
      </c>
    </row>
    <row r="7" spans="1:19">
      <c r="A7" t="s">
        <v>1275</v>
      </c>
      <c r="B7" t="s">
        <v>690</v>
      </c>
      <c r="C7">
        <v>38</v>
      </c>
      <c r="D7" t="s">
        <v>61</v>
      </c>
      <c r="E7" t="s">
        <v>21</v>
      </c>
      <c r="F7" t="s">
        <v>40</v>
      </c>
      <c r="G7" t="s">
        <v>41</v>
      </c>
      <c r="H7" s="13">
        <v>41518</v>
      </c>
      <c r="I7" s="13">
        <v>46266</v>
      </c>
      <c r="J7" t="s">
        <v>49</v>
      </c>
      <c r="K7">
        <v>4</v>
      </c>
      <c r="L7">
        <v>73354</v>
      </c>
      <c r="M7" t="s">
        <v>34</v>
      </c>
      <c r="N7" t="s">
        <v>26</v>
      </c>
      <c r="O7">
        <v>13</v>
      </c>
      <c r="P7" t="s">
        <v>35</v>
      </c>
      <c r="Q7" t="s">
        <v>76</v>
      </c>
      <c r="R7">
        <v>2013</v>
      </c>
      <c r="S7">
        <v>9</v>
      </c>
    </row>
    <row r="8" spans="1:19">
      <c r="A8" t="s">
        <v>1254</v>
      </c>
      <c r="B8" t="s">
        <v>1029</v>
      </c>
      <c r="C8">
        <v>21</v>
      </c>
      <c r="D8" t="s">
        <v>39</v>
      </c>
      <c r="E8" t="s">
        <v>32</v>
      </c>
      <c r="F8" t="s">
        <v>47</v>
      </c>
      <c r="G8" t="s">
        <v>23</v>
      </c>
      <c r="H8" s="13">
        <v>44638</v>
      </c>
      <c r="I8" s="13">
        <v>46252</v>
      </c>
      <c r="J8" t="s">
        <v>49</v>
      </c>
      <c r="K8">
        <v>4</v>
      </c>
      <c r="L8">
        <v>99683</v>
      </c>
      <c r="M8" t="s">
        <v>66</v>
      </c>
      <c r="N8" t="s">
        <v>50</v>
      </c>
      <c r="O8">
        <v>4.42</v>
      </c>
      <c r="P8" t="s">
        <v>35</v>
      </c>
      <c r="Q8" t="s">
        <v>28</v>
      </c>
      <c r="R8">
        <v>2022</v>
      </c>
      <c r="S8">
        <v>8</v>
      </c>
    </row>
    <row r="9" spans="1:19">
      <c r="A9" t="s">
        <v>1247</v>
      </c>
      <c r="B9" t="s">
        <v>1225</v>
      </c>
      <c r="C9">
        <v>40</v>
      </c>
      <c r="D9" t="s">
        <v>61</v>
      </c>
      <c r="E9" t="s">
        <v>32</v>
      </c>
      <c r="F9" t="s">
        <v>40</v>
      </c>
      <c r="G9" t="s">
        <v>23</v>
      </c>
      <c r="H9" s="13">
        <v>44952</v>
      </c>
      <c r="I9" s="13">
        <v>46260</v>
      </c>
      <c r="J9" t="s">
        <v>49</v>
      </c>
      <c r="K9">
        <v>4</v>
      </c>
      <c r="L9">
        <v>28536</v>
      </c>
      <c r="M9" t="s">
        <v>82</v>
      </c>
      <c r="N9" t="s">
        <v>50</v>
      </c>
      <c r="O9">
        <v>3.58</v>
      </c>
      <c r="P9" t="s">
        <v>35</v>
      </c>
      <c r="Q9" t="s">
        <v>44</v>
      </c>
      <c r="R9">
        <v>2023</v>
      </c>
      <c r="S9">
        <v>8</v>
      </c>
    </row>
    <row r="10" spans="1:19">
      <c r="A10" t="s">
        <v>1209</v>
      </c>
      <c r="B10" t="s">
        <v>804</v>
      </c>
      <c r="C10">
        <v>32</v>
      </c>
      <c r="D10" t="s">
        <v>31</v>
      </c>
      <c r="E10" t="s">
        <v>32</v>
      </c>
      <c r="F10" t="s">
        <v>47</v>
      </c>
      <c r="G10" t="s">
        <v>48</v>
      </c>
      <c r="H10" s="13">
        <v>45576</v>
      </c>
      <c r="I10" s="13">
        <v>46276</v>
      </c>
      <c r="J10" t="s">
        <v>49</v>
      </c>
      <c r="K10">
        <v>3</v>
      </c>
      <c r="L10">
        <v>19340</v>
      </c>
      <c r="M10" t="s">
        <v>82</v>
      </c>
      <c r="N10" t="s">
        <v>56</v>
      </c>
      <c r="O10">
        <v>1.92</v>
      </c>
      <c r="P10" t="s">
        <v>35</v>
      </c>
      <c r="Q10" t="s">
        <v>28</v>
      </c>
      <c r="R10">
        <v>2024</v>
      </c>
      <c r="S10">
        <v>9</v>
      </c>
    </row>
    <row r="11" spans="1:19">
      <c r="A11" t="s">
        <v>1199</v>
      </c>
      <c r="B11" t="s">
        <v>1200</v>
      </c>
      <c r="C11">
        <v>34</v>
      </c>
      <c r="D11" t="s">
        <v>31</v>
      </c>
      <c r="E11" t="s">
        <v>32</v>
      </c>
      <c r="F11" t="s">
        <v>40</v>
      </c>
      <c r="G11" t="s">
        <v>33</v>
      </c>
      <c r="H11" s="13">
        <v>46161</v>
      </c>
      <c r="I11" s="13">
        <v>46253</v>
      </c>
      <c r="J11" t="s">
        <v>49</v>
      </c>
      <c r="K11">
        <v>3</v>
      </c>
      <c r="L11">
        <v>49651</v>
      </c>
      <c r="M11" t="s">
        <v>42</v>
      </c>
      <c r="N11" t="s">
        <v>43</v>
      </c>
      <c r="O11">
        <v>0.25</v>
      </c>
      <c r="P11" t="s">
        <v>35</v>
      </c>
      <c r="Q11" t="s">
        <v>36</v>
      </c>
      <c r="R11">
        <v>2026</v>
      </c>
      <c r="S11">
        <v>8</v>
      </c>
    </row>
    <row r="12" spans="1:19">
      <c r="A12" t="s">
        <v>1187</v>
      </c>
      <c r="B12" t="s">
        <v>532</v>
      </c>
      <c r="C12">
        <v>22</v>
      </c>
      <c r="D12" t="s">
        <v>39</v>
      </c>
      <c r="E12" t="s">
        <v>21</v>
      </c>
      <c r="F12" t="s">
        <v>22</v>
      </c>
      <c r="G12" t="s">
        <v>23</v>
      </c>
      <c r="H12" s="13">
        <v>45297</v>
      </c>
      <c r="I12" s="13">
        <v>46301</v>
      </c>
      <c r="J12" t="s">
        <v>49</v>
      </c>
      <c r="K12">
        <v>4</v>
      </c>
      <c r="L12">
        <v>41550</v>
      </c>
      <c r="M12" t="s">
        <v>42</v>
      </c>
      <c r="N12" t="s">
        <v>56</v>
      </c>
      <c r="O12">
        <v>2.75</v>
      </c>
      <c r="P12" t="s">
        <v>35</v>
      </c>
      <c r="Q12" t="s">
        <v>62</v>
      </c>
      <c r="R12">
        <v>2024</v>
      </c>
      <c r="S12">
        <v>10</v>
      </c>
    </row>
    <row r="13" spans="1:19">
      <c r="A13" t="s">
        <v>1181</v>
      </c>
      <c r="B13" t="s">
        <v>1150</v>
      </c>
      <c r="C13">
        <v>22</v>
      </c>
      <c r="D13" t="s">
        <v>39</v>
      </c>
      <c r="E13" t="s">
        <v>32</v>
      </c>
      <c r="F13" t="s">
        <v>40</v>
      </c>
      <c r="G13" t="s">
        <v>33</v>
      </c>
      <c r="H13" s="13">
        <v>41227</v>
      </c>
      <c r="I13" s="13">
        <v>46248</v>
      </c>
      <c r="J13" t="s">
        <v>49</v>
      </c>
      <c r="K13">
        <v>4</v>
      </c>
      <c r="L13">
        <v>31841</v>
      </c>
      <c r="M13" t="s">
        <v>42</v>
      </c>
      <c r="N13" t="s">
        <v>26</v>
      </c>
      <c r="O13">
        <v>13.75</v>
      </c>
      <c r="P13" t="s">
        <v>35</v>
      </c>
      <c r="Q13" t="s">
        <v>62</v>
      </c>
      <c r="R13">
        <v>2012</v>
      </c>
      <c r="S13">
        <v>8</v>
      </c>
    </row>
    <row r="14" spans="1:19">
      <c r="A14" t="s">
        <v>1178</v>
      </c>
      <c r="B14" t="s">
        <v>1179</v>
      </c>
      <c r="C14">
        <v>32</v>
      </c>
      <c r="D14" t="s">
        <v>31</v>
      </c>
      <c r="E14" t="s">
        <v>32</v>
      </c>
      <c r="F14" t="s">
        <v>65</v>
      </c>
      <c r="G14" t="s">
        <v>48</v>
      </c>
      <c r="H14" s="13">
        <v>44619</v>
      </c>
      <c r="I14" s="13">
        <v>46261</v>
      </c>
      <c r="J14" t="s">
        <v>49</v>
      </c>
      <c r="K14">
        <v>3</v>
      </c>
      <c r="L14">
        <v>91675</v>
      </c>
      <c r="M14" t="s">
        <v>66</v>
      </c>
      <c r="N14" t="s">
        <v>50</v>
      </c>
      <c r="O14">
        <v>4.5</v>
      </c>
      <c r="P14" t="s">
        <v>35</v>
      </c>
      <c r="Q14" t="s">
        <v>28</v>
      </c>
      <c r="R14">
        <v>2022</v>
      </c>
      <c r="S14">
        <v>8</v>
      </c>
    </row>
    <row r="15" spans="1:19">
      <c r="A15" t="s">
        <v>1156</v>
      </c>
      <c r="B15" t="s">
        <v>739</v>
      </c>
      <c r="C15">
        <v>23</v>
      </c>
      <c r="D15" t="s">
        <v>39</v>
      </c>
      <c r="E15" t="s">
        <v>32</v>
      </c>
      <c r="F15" t="s">
        <v>47</v>
      </c>
      <c r="G15" t="s">
        <v>23</v>
      </c>
      <c r="H15" s="13">
        <v>46050</v>
      </c>
      <c r="I15" s="13">
        <v>46293</v>
      </c>
      <c r="J15" t="s">
        <v>49</v>
      </c>
      <c r="K15">
        <v>3</v>
      </c>
      <c r="L15">
        <v>165441</v>
      </c>
      <c r="M15" t="s">
        <v>25</v>
      </c>
      <c r="N15" t="s">
        <v>43</v>
      </c>
      <c r="O15">
        <v>0.67</v>
      </c>
      <c r="P15" t="s">
        <v>35</v>
      </c>
      <c r="Q15" t="s">
        <v>76</v>
      </c>
      <c r="R15">
        <v>2026</v>
      </c>
      <c r="S15">
        <v>9</v>
      </c>
    </row>
    <row r="16" spans="1:19">
      <c r="A16" t="s">
        <v>1153</v>
      </c>
      <c r="B16" t="s">
        <v>785</v>
      </c>
      <c r="C16">
        <v>59</v>
      </c>
      <c r="D16" t="s">
        <v>54</v>
      </c>
      <c r="E16" t="s">
        <v>32</v>
      </c>
      <c r="F16" t="s">
        <v>55</v>
      </c>
      <c r="G16" t="s">
        <v>23</v>
      </c>
      <c r="H16" s="13">
        <v>45916</v>
      </c>
      <c r="I16" s="13">
        <v>46250</v>
      </c>
      <c r="J16" t="s">
        <v>49</v>
      </c>
      <c r="K16">
        <v>4</v>
      </c>
      <c r="L16">
        <v>32196</v>
      </c>
      <c r="M16" t="s">
        <v>42</v>
      </c>
      <c r="N16" t="s">
        <v>43</v>
      </c>
      <c r="O16">
        <v>0.92</v>
      </c>
      <c r="P16" t="s">
        <v>35</v>
      </c>
      <c r="Q16" t="s">
        <v>58</v>
      </c>
      <c r="R16">
        <v>2025</v>
      </c>
      <c r="S16">
        <v>8</v>
      </c>
    </row>
    <row r="17" spans="1:19">
      <c r="A17" t="s">
        <v>1094</v>
      </c>
      <c r="B17" t="s">
        <v>269</v>
      </c>
      <c r="C17">
        <v>39</v>
      </c>
      <c r="D17" t="s">
        <v>61</v>
      </c>
      <c r="E17" t="s">
        <v>32</v>
      </c>
      <c r="F17" t="s">
        <v>47</v>
      </c>
      <c r="G17" t="s">
        <v>23</v>
      </c>
      <c r="H17" s="13">
        <v>45923</v>
      </c>
      <c r="I17" s="13">
        <v>46288</v>
      </c>
      <c r="J17" t="s">
        <v>49</v>
      </c>
      <c r="K17">
        <v>5</v>
      </c>
      <c r="L17">
        <v>19482</v>
      </c>
      <c r="M17" t="s">
        <v>82</v>
      </c>
      <c r="N17" t="s">
        <v>43</v>
      </c>
      <c r="O17">
        <v>1</v>
      </c>
      <c r="P17" t="s">
        <v>35</v>
      </c>
      <c r="Q17" t="s">
        <v>76</v>
      </c>
      <c r="R17">
        <v>2025</v>
      </c>
      <c r="S17">
        <v>9</v>
      </c>
    </row>
    <row r="18" spans="1:19">
      <c r="A18" t="s">
        <v>1088</v>
      </c>
      <c r="B18" t="s">
        <v>1089</v>
      </c>
      <c r="C18">
        <v>26</v>
      </c>
      <c r="D18" t="s">
        <v>31</v>
      </c>
      <c r="E18" t="s">
        <v>21</v>
      </c>
      <c r="F18" t="s">
        <v>73</v>
      </c>
      <c r="G18" t="s">
        <v>48</v>
      </c>
      <c r="H18" s="13">
        <v>46127</v>
      </c>
      <c r="I18" s="13">
        <v>46280</v>
      </c>
      <c r="J18" t="s">
        <v>49</v>
      </c>
      <c r="K18">
        <v>3</v>
      </c>
      <c r="L18">
        <v>35246</v>
      </c>
      <c r="M18" t="s">
        <v>42</v>
      </c>
      <c r="N18" t="s">
        <v>43</v>
      </c>
      <c r="O18">
        <v>0.42</v>
      </c>
      <c r="P18" t="s">
        <v>35</v>
      </c>
      <c r="Q18" t="s">
        <v>62</v>
      </c>
      <c r="R18">
        <v>2026</v>
      </c>
      <c r="S18">
        <v>9</v>
      </c>
    </row>
    <row r="19" spans="1:19">
      <c r="A19" t="s">
        <v>1076</v>
      </c>
      <c r="B19" t="s">
        <v>972</v>
      </c>
      <c r="C19">
        <v>42</v>
      </c>
      <c r="D19" t="s">
        <v>61</v>
      </c>
      <c r="E19" t="s">
        <v>21</v>
      </c>
      <c r="F19" t="s">
        <v>151</v>
      </c>
      <c r="G19" t="s">
        <v>33</v>
      </c>
      <c r="H19" s="13">
        <v>46119</v>
      </c>
      <c r="I19" s="13">
        <v>46302</v>
      </c>
      <c r="J19" t="s">
        <v>49</v>
      </c>
      <c r="K19">
        <v>3</v>
      </c>
      <c r="L19">
        <v>35830</v>
      </c>
      <c r="M19" t="s">
        <v>42</v>
      </c>
      <c r="N19" t="s">
        <v>43</v>
      </c>
      <c r="O19">
        <v>0.5</v>
      </c>
      <c r="P19" t="s">
        <v>35</v>
      </c>
      <c r="Q19" t="s">
        <v>44</v>
      </c>
      <c r="R19">
        <v>2026</v>
      </c>
      <c r="S19">
        <v>10</v>
      </c>
    </row>
    <row r="20" spans="1:19">
      <c r="A20" t="s">
        <v>1052</v>
      </c>
      <c r="B20" t="s">
        <v>286</v>
      </c>
      <c r="C20">
        <v>29</v>
      </c>
      <c r="D20" t="s">
        <v>31</v>
      </c>
      <c r="E20" t="s">
        <v>21</v>
      </c>
      <c r="F20" t="s">
        <v>55</v>
      </c>
      <c r="G20" t="s">
        <v>48</v>
      </c>
      <c r="H20" s="13">
        <v>40675</v>
      </c>
      <c r="I20" s="13">
        <v>46277</v>
      </c>
      <c r="J20" t="s">
        <v>49</v>
      </c>
      <c r="K20">
        <v>3</v>
      </c>
      <c r="L20">
        <v>27857</v>
      </c>
      <c r="M20" t="s">
        <v>82</v>
      </c>
      <c r="N20" t="s">
        <v>26</v>
      </c>
      <c r="O20">
        <v>15.33</v>
      </c>
      <c r="P20" t="s">
        <v>35</v>
      </c>
      <c r="Q20" t="s">
        <v>86</v>
      </c>
      <c r="R20">
        <v>2011</v>
      </c>
      <c r="S20">
        <v>9</v>
      </c>
    </row>
    <row r="21" spans="1:19">
      <c r="A21" t="s">
        <v>1050</v>
      </c>
      <c r="B21" t="s">
        <v>843</v>
      </c>
      <c r="C21">
        <v>39</v>
      </c>
      <c r="D21" t="s">
        <v>61</v>
      </c>
      <c r="E21" t="s">
        <v>32</v>
      </c>
      <c r="F21" t="s">
        <v>55</v>
      </c>
      <c r="G21" t="s">
        <v>33</v>
      </c>
      <c r="H21" s="13">
        <v>45254</v>
      </c>
      <c r="I21" s="13">
        <v>46289</v>
      </c>
      <c r="J21" t="s">
        <v>49</v>
      </c>
      <c r="K21">
        <v>4</v>
      </c>
      <c r="L21">
        <v>65486</v>
      </c>
      <c r="M21" t="s">
        <v>34</v>
      </c>
      <c r="N21" t="s">
        <v>56</v>
      </c>
      <c r="O21">
        <v>2.83</v>
      </c>
      <c r="P21" t="s">
        <v>35</v>
      </c>
      <c r="Q21" t="s">
        <v>76</v>
      </c>
      <c r="R21">
        <v>2023</v>
      </c>
      <c r="S21">
        <v>9</v>
      </c>
    </row>
    <row r="22" spans="1:19">
      <c r="A22" t="s">
        <v>990</v>
      </c>
      <c r="B22" t="s">
        <v>630</v>
      </c>
      <c r="C22">
        <v>42</v>
      </c>
      <c r="D22" t="s">
        <v>61</v>
      </c>
      <c r="E22" t="s">
        <v>21</v>
      </c>
      <c r="F22" t="s">
        <v>55</v>
      </c>
      <c r="G22" t="s">
        <v>23</v>
      </c>
      <c r="H22" s="13">
        <v>45484</v>
      </c>
      <c r="I22" s="13">
        <v>46276</v>
      </c>
      <c r="J22" t="s">
        <v>49</v>
      </c>
      <c r="K22">
        <v>3</v>
      </c>
      <c r="L22">
        <v>79101</v>
      </c>
      <c r="M22" t="s">
        <v>66</v>
      </c>
      <c r="N22" t="s">
        <v>56</v>
      </c>
      <c r="O22">
        <v>2.17</v>
      </c>
      <c r="P22" t="s">
        <v>35</v>
      </c>
      <c r="Q22" t="s">
        <v>28</v>
      </c>
      <c r="R22">
        <v>2024</v>
      </c>
      <c r="S22">
        <v>9</v>
      </c>
    </row>
    <row r="23" spans="1:19">
      <c r="A23" t="s">
        <v>101</v>
      </c>
      <c r="B23" t="s">
        <v>102</v>
      </c>
      <c r="C23">
        <v>24</v>
      </c>
      <c r="D23" t="s">
        <v>39</v>
      </c>
      <c r="E23" t="s">
        <v>32</v>
      </c>
      <c r="F23" t="s">
        <v>40</v>
      </c>
      <c r="G23" t="s">
        <v>48</v>
      </c>
      <c r="H23" s="13">
        <v>42339</v>
      </c>
      <c r="I23" s="13">
        <v>46235</v>
      </c>
      <c r="J23" t="s">
        <v>49</v>
      </c>
      <c r="K23">
        <v>3</v>
      </c>
      <c r="L23">
        <v>49423</v>
      </c>
      <c r="M23" t="s">
        <v>42</v>
      </c>
      <c r="N23" t="s">
        <v>26</v>
      </c>
      <c r="O23">
        <v>10.67</v>
      </c>
      <c r="P23" t="s">
        <v>35</v>
      </c>
      <c r="Q23" t="s">
        <v>58</v>
      </c>
      <c r="R23">
        <v>2015</v>
      </c>
      <c r="S23">
        <v>8</v>
      </c>
    </row>
    <row r="24" spans="1:19">
      <c r="A24" t="s">
        <v>930</v>
      </c>
      <c r="B24" t="s">
        <v>85</v>
      </c>
      <c r="C24">
        <v>24</v>
      </c>
      <c r="D24" t="s">
        <v>39</v>
      </c>
      <c r="E24" t="s">
        <v>32</v>
      </c>
      <c r="F24" t="s">
        <v>109</v>
      </c>
      <c r="G24" t="s">
        <v>48</v>
      </c>
      <c r="H24" s="13">
        <v>45946</v>
      </c>
      <c r="I24" s="13">
        <v>46250</v>
      </c>
      <c r="J24" t="s">
        <v>49</v>
      </c>
      <c r="K24">
        <v>2</v>
      </c>
      <c r="L24">
        <v>24999</v>
      </c>
      <c r="M24" t="s">
        <v>82</v>
      </c>
      <c r="N24" t="s">
        <v>43</v>
      </c>
      <c r="O24">
        <v>0.83</v>
      </c>
      <c r="P24" t="s">
        <v>35</v>
      </c>
      <c r="Q24" t="s">
        <v>58</v>
      </c>
      <c r="R24">
        <v>2025</v>
      </c>
      <c r="S24">
        <v>8</v>
      </c>
    </row>
    <row r="25" spans="1:19">
      <c r="A25" t="s">
        <v>875</v>
      </c>
      <c r="B25" t="s">
        <v>726</v>
      </c>
      <c r="C25">
        <v>26</v>
      </c>
      <c r="D25" t="s">
        <v>31</v>
      </c>
      <c r="E25" t="s">
        <v>21</v>
      </c>
      <c r="F25" t="s">
        <v>73</v>
      </c>
      <c r="G25" t="s">
        <v>23</v>
      </c>
      <c r="H25" s="13">
        <v>41919</v>
      </c>
      <c r="I25" s="13">
        <v>46302</v>
      </c>
      <c r="J25" t="s">
        <v>49</v>
      </c>
      <c r="K25">
        <v>3</v>
      </c>
      <c r="L25">
        <v>45192</v>
      </c>
      <c r="M25" t="s">
        <v>42</v>
      </c>
      <c r="N25" t="s">
        <v>26</v>
      </c>
      <c r="O25">
        <v>12</v>
      </c>
      <c r="P25" t="s">
        <v>35</v>
      </c>
      <c r="Q25" t="s">
        <v>44</v>
      </c>
      <c r="R25">
        <v>2014</v>
      </c>
      <c r="S25">
        <v>10</v>
      </c>
    </row>
    <row r="26" spans="1:19">
      <c r="A26" t="s">
        <v>856</v>
      </c>
      <c r="B26" t="s">
        <v>857</v>
      </c>
      <c r="C26">
        <v>22</v>
      </c>
      <c r="D26" t="s">
        <v>39</v>
      </c>
      <c r="E26" t="s">
        <v>21</v>
      </c>
      <c r="F26" t="s">
        <v>40</v>
      </c>
      <c r="G26" t="s">
        <v>23</v>
      </c>
      <c r="H26" s="13">
        <v>45592</v>
      </c>
      <c r="I26" s="13">
        <v>46261</v>
      </c>
      <c r="J26" t="s">
        <v>49</v>
      </c>
      <c r="K26">
        <v>4</v>
      </c>
      <c r="L26">
        <v>73639</v>
      </c>
      <c r="M26" t="s">
        <v>34</v>
      </c>
      <c r="N26" t="s">
        <v>56</v>
      </c>
      <c r="O26">
        <v>1.83</v>
      </c>
      <c r="P26" t="s">
        <v>35</v>
      </c>
      <c r="Q26" t="s">
        <v>92</v>
      </c>
      <c r="R26">
        <v>2024</v>
      </c>
      <c r="S26">
        <v>8</v>
      </c>
    </row>
    <row r="27" spans="1:19">
      <c r="A27" t="s">
        <v>849</v>
      </c>
      <c r="B27" t="s">
        <v>619</v>
      </c>
      <c r="C27">
        <v>23</v>
      </c>
      <c r="D27" t="s">
        <v>39</v>
      </c>
      <c r="E27" t="s">
        <v>21</v>
      </c>
      <c r="F27" t="s">
        <v>40</v>
      </c>
      <c r="G27" t="s">
        <v>33</v>
      </c>
      <c r="H27" s="13">
        <v>46228</v>
      </c>
      <c r="I27" s="13">
        <v>46290</v>
      </c>
      <c r="J27" t="s">
        <v>49</v>
      </c>
      <c r="K27">
        <v>2</v>
      </c>
      <c r="L27">
        <v>47915</v>
      </c>
      <c r="M27" t="s">
        <v>42</v>
      </c>
      <c r="N27" t="s">
        <v>43</v>
      </c>
      <c r="O27">
        <v>0.17</v>
      </c>
      <c r="P27" t="s">
        <v>35</v>
      </c>
      <c r="Q27" t="s">
        <v>86</v>
      </c>
      <c r="R27">
        <v>2026</v>
      </c>
      <c r="S27">
        <v>9</v>
      </c>
    </row>
    <row r="28" spans="1:19">
      <c r="A28" t="s">
        <v>786</v>
      </c>
      <c r="B28" t="s">
        <v>425</v>
      </c>
      <c r="C28">
        <v>54</v>
      </c>
      <c r="D28" t="s">
        <v>20</v>
      </c>
      <c r="E28" t="s">
        <v>21</v>
      </c>
      <c r="F28" t="s">
        <v>40</v>
      </c>
      <c r="G28" t="s">
        <v>23</v>
      </c>
      <c r="H28" s="13">
        <v>44682</v>
      </c>
      <c r="I28" s="13">
        <v>46296</v>
      </c>
      <c r="J28" t="s">
        <v>49</v>
      </c>
      <c r="K28">
        <v>3</v>
      </c>
      <c r="L28">
        <v>50190</v>
      </c>
      <c r="M28" t="s">
        <v>34</v>
      </c>
      <c r="N28" t="s">
        <v>50</v>
      </c>
      <c r="O28">
        <v>4.42</v>
      </c>
      <c r="P28" t="s">
        <v>35</v>
      </c>
      <c r="Q28" t="s">
        <v>86</v>
      </c>
      <c r="R28">
        <v>2022</v>
      </c>
      <c r="S28">
        <v>10</v>
      </c>
    </row>
    <row r="29" spans="1:19">
      <c r="A29" t="s">
        <v>760</v>
      </c>
      <c r="B29" t="s">
        <v>761</v>
      </c>
      <c r="C29">
        <v>44</v>
      </c>
      <c r="D29" t="s">
        <v>61</v>
      </c>
      <c r="E29" t="s">
        <v>32</v>
      </c>
      <c r="F29" t="s">
        <v>73</v>
      </c>
      <c r="G29" t="s">
        <v>33</v>
      </c>
      <c r="H29" s="13">
        <v>46144</v>
      </c>
      <c r="I29" s="13">
        <v>46297</v>
      </c>
      <c r="J29" t="s">
        <v>49</v>
      </c>
      <c r="K29">
        <v>3</v>
      </c>
      <c r="L29">
        <v>72805</v>
      </c>
      <c r="M29" t="s">
        <v>34</v>
      </c>
      <c r="N29" t="s">
        <v>43</v>
      </c>
      <c r="O29">
        <v>0.42</v>
      </c>
      <c r="P29" t="s">
        <v>35</v>
      </c>
      <c r="Q29" t="s">
        <v>86</v>
      </c>
      <c r="R29">
        <v>2026</v>
      </c>
      <c r="S29">
        <v>10</v>
      </c>
    </row>
    <row r="30" spans="1:19">
      <c r="A30" t="s">
        <v>117</v>
      </c>
      <c r="B30" t="s">
        <v>118</v>
      </c>
      <c r="C30">
        <v>28</v>
      </c>
      <c r="D30" t="s">
        <v>31</v>
      </c>
      <c r="E30" t="s">
        <v>32</v>
      </c>
      <c r="F30" t="s">
        <v>47</v>
      </c>
      <c r="G30" t="s">
        <v>23</v>
      </c>
      <c r="H30" s="13">
        <v>43560</v>
      </c>
      <c r="I30" s="13">
        <v>46270</v>
      </c>
      <c r="J30" t="s">
        <v>49</v>
      </c>
      <c r="K30">
        <v>2</v>
      </c>
      <c r="L30">
        <v>28987</v>
      </c>
      <c r="M30" t="s">
        <v>82</v>
      </c>
      <c r="N30" t="s">
        <v>79</v>
      </c>
      <c r="O30">
        <v>7.42</v>
      </c>
      <c r="P30" t="s">
        <v>35</v>
      </c>
      <c r="Q30" t="s">
        <v>36</v>
      </c>
      <c r="R30">
        <v>2019</v>
      </c>
      <c r="S30">
        <v>9</v>
      </c>
    </row>
    <row r="31" spans="1:19">
      <c r="A31" t="s">
        <v>759</v>
      </c>
      <c r="B31" t="s">
        <v>444</v>
      </c>
      <c r="C31">
        <v>34</v>
      </c>
      <c r="D31" t="s">
        <v>31</v>
      </c>
      <c r="E31" t="s">
        <v>32</v>
      </c>
      <c r="F31" t="s">
        <v>40</v>
      </c>
      <c r="G31" t="s">
        <v>33</v>
      </c>
      <c r="H31" s="13">
        <v>41291</v>
      </c>
      <c r="I31" s="13">
        <v>46282</v>
      </c>
      <c r="J31" t="s">
        <v>49</v>
      </c>
      <c r="K31">
        <v>2</v>
      </c>
      <c r="L31">
        <v>27139</v>
      </c>
      <c r="M31" t="s">
        <v>82</v>
      </c>
      <c r="N31" t="s">
        <v>26</v>
      </c>
      <c r="O31">
        <v>13.67</v>
      </c>
      <c r="P31" t="s">
        <v>35</v>
      </c>
      <c r="Q31" t="s">
        <v>58</v>
      </c>
      <c r="R31">
        <v>2013</v>
      </c>
      <c r="S31">
        <v>9</v>
      </c>
    </row>
    <row r="32" spans="1:19">
      <c r="A32" t="s">
        <v>751</v>
      </c>
      <c r="B32" t="s">
        <v>513</v>
      </c>
      <c r="C32">
        <v>22</v>
      </c>
      <c r="D32" t="s">
        <v>39</v>
      </c>
      <c r="E32" t="s">
        <v>21</v>
      </c>
      <c r="F32" t="s">
        <v>40</v>
      </c>
      <c r="G32" t="s">
        <v>23</v>
      </c>
      <c r="H32" s="13">
        <v>45927</v>
      </c>
      <c r="I32" s="13">
        <v>46261</v>
      </c>
      <c r="J32" t="s">
        <v>49</v>
      </c>
      <c r="K32">
        <v>4</v>
      </c>
      <c r="L32">
        <v>75730</v>
      </c>
      <c r="M32" t="s">
        <v>66</v>
      </c>
      <c r="N32" t="s">
        <v>43</v>
      </c>
      <c r="O32">
        <v>0.92</v>
      </c>
      <c r="P32" t="s">
        <v>35</v>
      </c>
      <c r="Q32" t="s">
        <v>86</v>
      </c>
      <c r="R32">
        <v>2025</v>
      </c>
      <c r="S32">
        <v>8</v>
      </c>
    </row>
    <row r="33" spans="1:19">
      <c r="A33" t="s">
        <v>729</v>
      </c>
      <c r="B33" t="s">
        <v>730</v>
      </c>
      <c r="C33">
        <v>52</v>
      </c>
      <c r="D33" t="s">
        <v>20</v>
      </c>
      <c r="E33" t="s">
        <v>21</v>
      </c>
      <c r="F33" t="s">
        <v>73</v>
      </c>
      <c r="G33" t="s">
        <v>48</v>
      </c>
      <c r="H33" s="13">
        <v>41831</v>
      </c>
      <c r="I33" s="13">
        <v>46306</v>
      </c>
      <c r="J33" t="s">
        <v>49</v>
      </c>
      <c r="K33">
        <v>1</v>
      </c>
      <c r="L33">
        <v>20324</v>
      </c>
      <c r="M33" t="s">
        <v>82</v>
      </c>
      <c r="N33" t="s">
        <v>26</v>
      </c>
      <c r="O33">
        <v>12.25</v>
      </c>
      <c r="P33" t="s">
        <v>35</v>
      </c>
      <c r="Q33" t="s">
        <v>62</v>
      </c>
      <c r="R33">
        <v>2014</v>
      </c>
      <c r="S33">
        <v>10</v>
      </c>
    </row>
    <row r="34" spans="1:19">
      <c r="A34" t="s">
        <v>594</v>
      </c>
      <c r="B34" t="s">
        <v>435</v>
      </c>
      <c r="C34">
        <v>29</v>
      </c>
      <c r="D34" t="s">
        <v>31</v>
      </c>
      <c r="E34" t="s">
        <v>21</v>
      </c>
      <c r="F34" t="s">
        <v>55</v>
      </c>
      <c r="G34" t="s">
        <v>23</v>
      </c>
      <c r="H34" s="13">
        <v>46207</v>
      </c>
      <c r="I34" s="13">
        <v>46238</v>
      </c>
      <c r="J34" t="s">
        <v>49</v>
      </c>
      <c r="K34">
        <v>2</v>
      </c>
      <c r="L34">
        <v>146408</v>
      </c>
      <c r="M34" t="s">
        <v>25</v>
      </c>
      <c r="N34" t="s">
        <v>43</v>
      </c>
      <c r="O34">
        <v>0.08</v>
      </c>
      <c r="P34" t="s">
        <v>35</v>
      </c>
      <c r="Q34" t="s">
        <v>62</v>
      </c>
      <c r="R34">
        <v>2026</v>
      </c>
      <c r="S34">
        <v>8</v>
      </c>
    </row>
    <row r="35" spans="1:19">
      <c r="A35" t="s">
        <v>579</v>
      </c>
      <c r="B35" t="s">
        <v>580</v>
      </c>
      <c r="C35">
        <v>24</v>
      </c>
      <c r="D35" t="s">
        <v>39</v>
      </c>
      <c r="E35" t="s">
        <v>32</v>
      </c>
      <c r="F35" t="s">
        <v>40</v>
      </c>
      <c r="G35" t="s">
        <v>23</v>
      </c>
      <c r="H35" s="13">
        <v>41876</v>
      </c>
      <c r="I35" s="13">
        <v>46290</v>
      </c>
      <c r="J35" t="s">
        <v>49</v>
      </c>
      <c r="K35">
        <v>3</v>
      </c>
      <c r="L35">
        <v>22371</v>
      </c>
      <c r="M35" t="s">
        <v>82</v>
      </c>
      <c r="N35" t="s">
        <v>26</v>
      </c>
      <c r="O35">
        <v>12.08</v>
      </c>
      <c r="P35" t="s">
        <v>35</v>
      </c>
      <c r="Q35" t="s">
        <v>62</v>
      </c>
      <c r="R35">
        <v>2014</v>
      </c>
      <c r="S35">
        <v>9</v>
      </c>
    </row>
    <row r="36" spans="1:19">
      <c r="A36" t="s">
        <v>537</v>
      </c>
      <c r="B36" t="s">
        <v>538</v>
      </c>
      <c r="C36">
        <v>53</v>
      </c>
      <c r="D36" t="s">
        <v>20</v>
      </c>
      <c r="E36" t="s">
        <v>32</v>
      </c>
      <c r="F36" t="s">
        <v>55</v>
      </c>
      <c r="G36" t="s">
        <v>23</v>
      </c>
      <c r="H36" s="13">
        <v>45999</v>
      </c>
      <c r="I36" s="13">
        <v>46273</v>
      </c>
      <c r="J36" t="s">
        <v>49</v>
      </c>
      <c r="K36">
        <v>4</v>
      </c>
      <c r="L36">
        <v>56357</v>
      </c>
      <c r="M36" t="s">
        <v>34</v>
      </c>
      <c r="N36" t="s">
        <v>43</v>
      </c>
      <c r="O36">
        <v>0.75</v>
      </c>
      <c r="P36" t="s">
        <v>35</v>
      </c>
      <c r="Q36" t="s">
        <v>28</v>
      </c>
      <c r="R36">
        <v>2025</v>
      </c>
      <c r="S36">
        <v>9</v>
      </c>
    </row>
    <row r="37" spans="1:19">
      <c r="A37" t="s">
        <v>531</v>
      </c>
      <c r="B37" t="s">
        <v>532</v>
      </c>
      <c r="C37">
        <v>23</v>
      </c>
      <c r="D37" t="s">
        <v>39</v>
      </c>
      <c r="E37" t="s">
        <v>32</v>
      </c>
      <c r="F37" t="s">
        <v>65</v>
      </c>
      <c r="G37" t="s">
        <v>23</v>
      </c>
      <c r="H37" s="13">
        <v>46111</v>
      </c>
      <c r="I37" s="13">
        <v>46233</v>
      </c>
      <c r="J37" t="s">
        <v>49</v>
      </c>
      <c r="K37">
        <v>5</v>
      </c>
      <c r="L37">
        <v>24191</v>
      </c>
      <c r="M37" t="s">
        <v>82</v>
      </c>
      <c r="N37" t="s">
        <v>43</v>
      </c>
      <c r="O37">
        <v>0.33</v>
      </c>
      <c r="P37" t="s">
        <v>35</v>
      </c>
      <c r="Q37" t="s">
        <v>36</v>
      </c>
      <c r="R37">
        <v>2026</v>
      </c>
      <c r="S37">
        <v>7</v>
      </c>
    </row>
    <row r="38" spans="1:19">
      <c r="A38" t="s">
        <v>515</v>
      </c>
      <c r="B38" t="s">
        <v>296</v>
      </c>
      <c r="C38">
        <v>29</v>
      </c>
      <c r="D38" t="s">
        <v>31</v>
      </c>
      <c r="E38" t="s">
        <v>32</v>
      </c>
      <c r="F38" t="s">
        <v>40</v>
      </c>
      <c r="G38" t="s">
        <v>48</v>
      </c>
      <c r="H38" s="13">
        <v>45928</v>
      </c>
      <c r="I38" s="13">
        <v>46293</v>
      </c>
      <c r="J38" t="s">
        <v>49</v>
      </c>
      <c r="K38">
        <v>4</v>
      </c>
      <c r="L38">
        <v>27605</v>
      </c>
      <c r="M38" t="s">
        <v>82</v>
      </c>
      <c r="N38" t="s">
        <v>43</v>
      </c>
      <c r="O38">
        <v>1</v>
      </c>
      <c r="P38" t="s">
        <v>35</v>
      </c>
      <c r="Q38" t="s">
        <v>76</v>
      </c>
      <c r="R38">
        <v>2025</v>
      </c>
      <c r="S38">
        <v>9</v>
      </c>
    </row>
    <row r="39" spans="1:19">
      <c r="A39" t="s">
        <v>490</v>
      </c>
      <c r="B39" t="s">
        <v>284</v>
      </c>
      <c r="C39">
        <v>34</v>
      </c>
      <c r="D39" t="s">
        <v>31</v>
      </c>
      <c r="E39" t="s">
        <v>32</v>
      </c>
      <c r="F39" t="s">
        <v>47</v>
      </c>
      <c r="G39" t="s">
        <v>23</v>
      </c>
      <c r="H39" s="13">
        <v>46079</v>
      </c>
      <c r="I39" s="13">
        <v>46260</v>
      </c>
      <c r="J39" t="s">
        <v>49</v>
      </c>
      <c r="K39">
        <v>3</v>
      </c>
      <c r="L39">
        <v>26701</v>
      </c>
      <c r="M39" t="s">
        <v>82</v>
      </c>
      <c r="N39" t="s">
        <v>43</v>
      </c>
      <c r="O39">
        <v>0.5</v>
      </c>
      <c r="P39" t="s">
        <v>35</v>
      </c>
      <c r="Q39" t="s">
        <v>36</v>
      </c>
      <c r="R39">
        <v>2026</v>
      </c>
      <c r="S39">
        <v>8</v>
      </c>
    </row>
    <row r="40" spans="1:19">
      <c r="A40" t="s">
        <v>461</v>
      </c>
      <c r="B40" t="s">
        <v>462</v>
      </c>
      <c r="C40">
        <v>24</v>
      </c>
      <c r="D40" t="s">
        <v>39</v>
      </c>
      <c r="E40" t="s">
        <v>21</v>
      </c>
      <c r="F40" t="s">
        <v>22</v>
      </c>
      <c r="G40" t="s">
        <v>41</v>
      </c>
      <c r="H40" s="13">
        <v>45088</v>
      </c>
      <c r="I40" s="13">
        <v>46276</v>
      </c>
      <c r="J40" t="s">
        <v>49</v>
      </c>
      <c r="K40">
        <v>4</v>
      </c>
      <c r="L40">
        <v>76896</v>
      </c>
      <c r="M40" t="s">
        <v>66</v>
      </c>
      <c r="N40" t="s">
        <v>50</v>
      </c>
      <c r="O40">
        <v>3.25</v>
      </c>
      <c r="P40" t="s">
        <v>35</v>
      </c>
      <c r="Q40" t="s">
        <v>62</v>
      </c>
      <c r="R40">
        <v>2023</v>
      </c>
      <c r="S40">
        <v>9</v>
      </c>
    </row>
    <row r="41" spans="1:19">
      <c r="A41" t="s">
        <v>436</v>
      </c>
      <c r="B41" t="s">
        <v>309</v>
      </c>
      <c r="C41">
        <v>49</v>
      </c>
      <c r="D41" t="s">
        <v>20</v>
      </c>
      <c r="E41" t="s">
        <v>21</v>
      </c>
      <c r="F41" t="s">
        <v>47</v>
      </c>
      <c r="G41" t="s">
        <v>23</v>
      </c>
      <c r="H41" s="13">
        <v>46129</v>
      </c>
      <c r="I41" s="13">
        <v>46282</v>
      </c>
      <c r="J41" t="s">
        <v>49</v>
      </c>
      <c r="K41">
        <v>5</v>
      </c>
      <c r="L41">
        <v>108650</v>
      </c>
      <c r="M41" t="s">
        <v>25</v>
      </c>
      <c r="N41" t="s">
        <v>43</v>
      </c>
      <c r="O41">
        <v>0.42</v>
      </c>
      <c r="P41" t="s">
        <v>35</v>
      </c>
      <c r="Q41" t="s">
        <v>86</v>
      </c>
      <c r="R41">
        <v>2026</v>
      </c>
      <c r="S41">
        <v>9</v>
      </c>
    </row>
    <row r="42" spans="1:19">
      <c r="A42" t="s">
        <v>308</v>
      </c>
      <c r="B42" t="s">
        <v>309</v>
      </c>
      <c r="C42">
        <v>61</v>
      </c>
      <c r="D42" t="s">
        <v>54</v>
      </c>
      <c r="E42" t="s">
        <v>32</v>
      </c>
      <c r="F42" t="s">
        <v>40</v>
      </c>
      <c r="G42" t="s">
        <v>48</v>
      </c>
      <c r="H42" s="13">
        <v>44504</v>
      </c>
      <c r="I42" s="13">
        <v>46299</v>
      </c>
      <c r="J42" t="s">
        <v>49</v>
      </c>
      <c r="K42">
        <v>2</v>
      </c>
      <c r="L42">
        <v>166137</v>
      </c>
      <c r="M42" t="s">
        <v>25</v>
      </c>
      <c r="N42" t="s">
        <v>50</v>
      </c>
      <c r="O42">
        <v>4.92</v>
      </c>
      <c r="P42" t="s">
        <v>35</v>
      </c>
      <c r="Q42" t="s">
        <v>58</v>
      </c>
      <c r="R42">
        <v>2021</v>
      </c>
      <c r="S42">
        <v>10</v>
      </c>
    </row>
    <row r="43" spans="1:19">
      <c r="A43" t="s">
        <v>285</v>
      </c>
      <c r="B43" t="s">
        <v>286</v>
      </c>
      <c r="C43">
        <v>42</v>
      </c>
      <c r="D43" t="s">
        <v>61</v>
      </c>
      <c r="E43" t="s">
        <v>21</v>
      </c>
      <c r="F43" t="s">
        <v>151</v>
      </c>
      <c r="G43" t="s">
        <v>48</v>
      </c>
      <c r="H43" s="13">
        <v>42853</v>
      </c>
      <c r="I43" s="13">
        <v>46293</v>
      </c>
      <c r="J43" t="s">
        <v>49</v>
      </c>
      <c r="K43">
        <v>4</v>
      </c>
      <c r="L43">
        <v>35232</v>
      </c>
      <c r="M43" t="s">
        <v>42</v>
      </c>
      <c r="N43" t="s">
        <v>79</v>
      </c>
      <c r="O43">
        <v>9.42</v>
      </c>
      <c r="P43" t="s">
        <v>35</v>
      </c>
      <c r="Q43" t="s">
        <v>36</v>
      </c>
      <c r="R43">
        <v>2017</v>
      </c>
      <c r="S43">
        <v>9</v>
      </c>
    </row>
    <row r="44" spans="1:19">
      <c r="A44" t="s">
        <v>283</v>
      </c>
      <c r="B44" t="s">
        <v>284</v>
      </c>
      <c r="C44">
        <v>42</v>
      </c>
      <c r="D44" t="s">
        <v>61</v>
      </c>
      <c r="E44" t="s">
        <v>21</v>
      </c>
      <c r="F44" t="s">
        <v>73</v>
      </c>
      <c r="G44" t="s">
        <v>48</v>
      </c>
      <c r="H44" s="13">
        <v>46111</v>
      </c>
      <c r="I44" s="13">
        <v>46264</v>
      </c>
      <c r="J44" t="s">
        <v>49</v>
      </c>
      <c r="K44">
        <v>3</v>
      </c>
      <c r="L44">
        <v>72120</v>
      </c>
      <c r="M44" t="s">
        <v>34</v>
      </c>
      <c r="N44" t="s">
        <v>43</v>
      </c>
      <c r="O44">
        <v>0.42</v>
      </c>
      <c r="P44" t="s">
        <v>35</v>
      </c>
      <c r="Q44" t="s">
        <v>36</v>
      </c>
      <c r="R44">
        <v>2026</v>
      </c>
      <c r="S44">
        <v>8</v>
      </c>
    </row>
    <row r="45" spans="1:19">
      <c r="A45" t="s">
        <v>276</v>
      </c>
      <c r="B45" t="s">
        <v>229</v>
      </c>
      <c r="C45">
        <v>55</v>
      </c>
      <c r="D45" t="s">
        <v>20</v>
      </c>
      <c r="E45" t="s">
        <v>21</v>
      </c>
      <c r="F45" t="s">
        <v>151</v>
      </c>
      <c r="G45" t="s">
        <v>48</v>
      </c>
      <c r="H45" s="13">
        <v>46172</v>
      </c>
      <c r="I45" s="13">
        <v>46295</v>
      </c>
      <c r="J45" t="s">
        <v>49</v>
      </c>
      <c r="K45">
        <v>5</v>
      </c>
      <c r="L45">
        <v>18341</v>
      </c>
      <c r="M45" t="s">
        <v>82</v>
      </c>
      <c r="N45" t="s">
        <v>43</v>
      </c>
      <c r="O45">
        <v>0.33</v>
      </c>
      <c r="P45" t="s">
        <v>35</v>
      </c>
      <c r="Q45" t="s">
        <v>86</v>
      </c>
      <c r="R45">
        <v>2026</v>
      </c>
      <c r="S45">
        <v>9</v>
      </c>
    </row>
    <row r="46" spans="1:19">
      <c r="A46" t="s">
        <v>219</v>
      </c>
      <c r="B46" t="s">
        <v>220</v>
      </c>
      <c r="C46">
        <v>45</v>
      </c>
      <c r="D46" t="s">
        <v>61</v>
      </c>
      <c r="E46" t="s">
        <v>32</v>
      </c>
      <c r="F46" t="s">
        <v>73</v>
      </c>
      <c r="G46" t="s">
        <v>33</v>
      </c>
      <c r="H46" s="13">
        <v>45231</v>
      </c>
      <c r="I46" s="13">
        <v>46296</v>
      </c>
      <c r="J46" t="s">
        <v>49</v>
      </c>
      <c r="K46">
        <v>1</v>
      </c>
      <c r="L46">
        <v>58186</v>
      </c>
      <c r="M46" t="s">
        <v>34</v>
      </c>
      <c r="N46" t="s">
        <v>56</v>
      </c>
      <c r="O46">
        <v>2.92</v>
      </c>
      <c r="P46" t="s">
        <v>35</v>
      </c>
      <c r="Q46" t="s">
        <v>28</v>
      </c>
      <c r="R46">
        <v>2023</v>
      </c>
      <c r="S46">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5"/>
  <sheetViews>
    <sheetView zoomScale="66" zoomScaleNormal="66" workbookViewId="0">
      <selection activeCell="G18" sqref="G18"/>
    </sheetView>
  </sheetViews>
  <sheetFormatPr defaultRowHeight="14.25"/>
  <cols>
    <col min="1" max="1" width="16.625" customWidth="1"/>
    <col min="2" max="2" width="25.125" customWidth="1"/>
    <col min="3" max="4" width="16.625" customWidth="1"/>
    <col min="5" max="5" width="28.875" customWidth="1"/>
    <col min="6" max="6" width="25.125" customWidth="1"/>
    <col min="7" max="7" width="16.625" customWidth="1"/>
    <col min="8" max="9" width="25.125" customWidth="1"/>
    <col min="10" max="10" width="16.625" customWidth="1"/>
    <col min="11" max="11" width="25.125" customWidth="1"/>
  </cols>
  <sheetData>
    <row r="1" spans="1:11">
      <c r="G1" s="6" t="s">
        <v>9</v>
      </c>
      <c r="H1" t="s">
        <v>49</v>
      </c>
    </row>
    <row r="2" spans="1:11">
      <c r="J2" s="6" t="s">
        <v>1475</v>
      </c>
      <c r="K2" t="s">
        <v>1474</v>
      </c>
    </row>
    <row r="3" spans="1:11">
      <c r="A3" t="s">
        <v>1474</v>
      </c>
      <c r="C3" s="7"/>
      <c r="D3" t="s">
        <v>1477</v>
      </c>
      <c r="G3" s="6" t="s">
        <v>1475</v>
      </c>
      <c r="H3" t="s">
        <v>1474</v>
      </c>
      <c r="J3" s="7" t="s">
        <v>49</v>
      </c>
      <c r="K3" s="4">
        <v>234</v>
      </c>
    </row>
    <row r="4" spans="1:11">
      <c r="A4" s="4">
        <v>1000</v>
      </c>
      <c r="C4" s="7"/>
      <c r="D4" s="3">
        <v>60348.921000000002</v>
      </c>
      <c r="F4" s="7"/>
      <c r="G4" s="7" t="s">
        <v>92</v>
      </c>
      <c r="H4" s="4">
        <v>22</v>
      </c>
      <c r="J4" s="8" t="s">
        <v>32</v>
      </c>
      <c r="K4" s="4">
        <v>109</v>
      </c>
    </row>
    <row r="5" spans="1:11">
      <c r="A5">
        <f>GETPIVOTDATA("Employee_ID",$A$3)</f>
        <v>1000</v>
      </c>
      <c r="C5" s="7"/>
      <c r="D5">
        <f>GETPIVOTDATA("Monthly_Salary_INR",$D$3)</f>
        <v>60348.921000000002</v>
      </c>
      <c r="F5" s="7"/>
      <c r="G5" s="7" t="s">
        <v>58</v>
      </c>
      <c r="H5" s="4">
        <v>33</v>
      </c>
      <c r="J5" s="8" t="s">
        <v>21</v>
      </c>
      <c r="K5" s="4">
        <v>125</v>
      </c>
    </row>
    <row r="6" spans="1:11">
      <c r="C6" s="7"/>
      <c r="F6" s="7">
        <f>GETPIVOTDATA("Employee_Name",$D$8,"Attrition","Yes")/GETPIVOTDATA("Employee_Name",$D$8)*100</f>
        <v>23.400000000000002</v>
      </c>
      <c r="G6" s="7" t="s">
        <v>28</v>
      </c>
      <c r="H6" s="4">
        <v>35</v>
      </c>
      <c r="J6" s="7" t="s">
        <v>1476</v>
      </c>
      <c r="K6" s="4">
        <v>234</v>
      </c>
    </row>
    <row r="7" spans="1:11">
      <c r="C7" s="7"/>
      <c r="F7" s="7"/>
      <c r="G7" s="7" t="s">
        <v>44</v>
      </c>
      <c r="H7" s="4">
        <v>19</v>
      </c>
      <c r="K7">
        <f>GETPIVOTDATA("Employee_ID",$J$2)</f>
        <v>234</v>
      </c>
    </row>
    <row r="8" spans="1:11">
      <c r="A8" s="7"/>
      <c r="B8" s="4"/>
      <c r="C8" s="7"/>
      <c r="D8" s="6" t="s">
        <v>1475</v>
      </c>
      <c r="E8" t="s">
        <v>1478</v>
      </c>
      <c r="F8" s="7"/>
      <c r="G8" s="7" t="s">
        <v>62</v>
      </c>
      <c r="H8" s="4">
        <v>32</v>
      </c>
    </row>
    <row r="9" spans="1:11">
      <c r="A9" s="8"/>
      <c r="B9" s="4"/>
      <c r="D9" s="7" t="s">
        <v>24</v>
      </c>
      <c r="E9" s="4">
        <v>766</v>
      </c>
      <c r="F9" s="7"/>
      <c r="G9" s="7" t="s">
        <v>76</v>
      </c>
      <c r="H9" s="4">
        <v>33</v>
      </c>
    </row>
    <row r="10" spans="1:11">
      <c r="A10" s="7"/>
      <c r="B10" s="4"/>
      <c r="D10" s="7" t="s">
        <v>49</v>
      </c>
      <c r="E10" s="4">
        <v>234</v>
      </c>
      <c r="G10" s="7" t="s">
        <v>86</v>
      </c>
      <c r="H10" s="4">
        <v>28</v>
      </c>
      <c r="J10" s="7"/>
      <c r="K10" s="4"/>
    </row>
    <row r="11" spans="1:11">
      <c r="A11" s="8"/>
      <c r="B11" s="4"/>
      <c r="D11" s="7" t="s">
        <v>1476</v>
      </c>
      <c r="E11" s="4">
        <v>1000</v>
      </c>
      <c r="G11" s="7" t="s">
        <v>36</v>
      </c>
      <c r="H11" s="4">
        <v>32</v>
      </c>
      <c r="J11" s="7"/>
      <c r="K11" s="4"/>
    </row>
    <row r="12" spans="1:11">
      <c r="A12" s="7"/>
      <c r="B12" s="4"/>
      <c r="E12">
        <f>GETPIVOTDATA("Employee_Name",$D$8,"Attrition","Yes")</f>
        <v>234</v>
      </c>
      <c r="G12" s="7" t="s">
        <v>1476</v>
      </c>
      <c r="H12" s="4">
        <v>234</v>
      </c>
    </row>
    <row r="13" spans="1:11">
      <c r="A13" s="8"/>
      <c r="B13" s="4"/>
      <c r="E13">
        <f>GETPIVOTDATA("Employee_Name",$D$8,"Attrition","No")</f>
        <v>766</v>
      </c>
    </row>
    <row r="14" spans="1:11">
      <c r="A14" s="7"/>
      <c r="B14" s="4"/>
      <c r="J14" s="6" t="s">
        <v>1475</v>
      </c>
      <c r="K14" t="s">
        <v>1474</v>
      </c>
    </row>
    <row r="15" spans="1:11">
      <c r="A15" s="8"/>
      <c r="B15" s="4"/>
      <c r="J15" s="7" t="s">
        <v>49</v>
      </c>
      <c r="K15" s="4">
        <v>234</v>
      </c>
    </row>
    <row r="16" spans="1:11">
      <c r="A16" s="7"/>
      <c r="B16" s="4"/>
      <c r="D16" s="9"/>
      <c r="J16" s="8" t="s">
        <v>25</v>
      </c>
      <c r="K16" s="4">
        <v>21</v>
      </c>
    </row>
    <row r="17" spans="1:11">
      <c r="A17" s="8"/>
      <c r="B17" s="4"/>
      <c r="J17" s="8" t="s">
        <v>42</v>
      </c>
      <c r="K17" s="4">
        <v>64</v>
      </c>
    </row>
    <row r="18" spans="1:11">
      <c r="A18" s="7"/>
      <c r="B18" s="4"/>
      <c r="J18" s="8" t="s">
        <v>34</v>
      </c>
      <c r="K18" s="4">
        <v>50</v>
      </c>
    </row>
    <row r="19" spans="1:11">
      <c r="J19" s="8" t="s">
        <v>66</v>
      </c>
      <c r="K19" s="4">
        <v>38</v>
      </c>
    </row>
    <row r="20" spans="1:11">
      <c r="J20" s="8" t="s">
        <v>82</v>
      </c>
      <c r="K20" s="4">
        <v>61</v>
      </c>
    </row>
    <row r="21" spans="1:11">
      <c r="A21" s="6" t="s">
        <v>9</v>
      </c>
      <c r="B21" t="s">
        <v>49</v>
      </c>
      <c r="J21" s="7" t="s">
        <v>1476</v>
      </c>
      <c r="K21" s="4">
        <v>234</v>
      </c>
    </row>
    <row r="23" spans="1:11">
      <c r="A23" s="6" t="s">
        <v>1475</v>
      </c>
      <c r="B23" t="s">
        <v>1474</v>
      </c>
      <c r="D23" s="6" t="s">
        <v>1475</v>
      </c>
      <c r="E23" t="s">
        <v>1474</v>
      </c>
    </row>
    <row r="24" spans="1:11">
      <c r="A24" s="7" t="s">
        <v>43</v>
      </c>
      <c r="B24" s="4">
        <v>81</v>
      </c>
      <c r="D24" s="7" t="s">
        <v>125</v>
      </c>
      <c r="E24" s="4">
        <v>33</v>
      </c>
    </row>
    <row r="25" spans="1:11">
      <c r="A25" s="7" t="s">
        <v>56</v>
      </c>
      <c r="B25" s="4">
        <v>50</v>
      </c>
      <c r="D25" s="8" t="s">
        <v>49</v>
      </c>
      <c r="E25" s="4">
        <v>33</v>
      </c>
    </row>
    <row r="26" spans="1:11">
      <c r="A26" s="7" t="s">
        <v>50</v>
      </c>
      <c r="B26" s="4">
        <v>33</v>
      </c>
      <c r="D26" s="7" t="s">
        <v>35</v>
      </c>
      <c r="E26" s="4">
        <v>45</v>
      </c>
    </row>
    <row r="27" spans="1:11">
      <c r="A27" s="7" t="s">
        <v>79</v>
      </c>
      <c r="B27" s="4">
        <v>37</v>
      </c>
      <c r="C27" s="4"/>
      <c r="D27" s="8" t="s">
        <v>49</v>
      </c>
      <c r="E27" s="4">
        <v>45</v>
      </c>
    </row>
    <row r="28" spans="1:11">
      <c r="A28" s="7" t="s">
        <v>26</v>
      </c>
      <c r="B28" s="4">
        <v>33</v>
      </c>
      <c r="C28" s="4"/>
      <c r="D28" s="7" t="s">
        <v>57</v>
      </c>
      <c r="E28" s="4">
        <v>39</v>
      </c>
    </row>
    <row r="29" spans="1:11">
      <c r="A29" s="7" t="s">
        <v>1476</v>
      </c>
      <c r="B29" s="4">
        <v>234</v>
      </c>
      <c r="C29" s="4"/>
      <c r="D29" s="8" t="s">
        <v>49</v>
      </c>
      <c r="E29" s="4">
        <v>39</v>
      </c>
    </row>
    <row r="30" spans="1:11">
      <c r="B30" s="7"/>
      <c r="C30" s="4"/>
      <c r="D30" s="7" t="s">
        <v>51</v>
      </c>
      <c r="E30" s="4">
        <v>40</v>
      </c>
    </row>
    <row r="31" spans="1:11">
      <c r="B31" s="7"/>
      <c r="C31" s="4"/>
      <c r="D31" s="8" t="s">
        <v>49</v>
      </c>
      <c r="E31" s="4">
        <v>40</v>
      </c>
    </row>
    <row r="32" spans="1:11">
      <c r="C32" s="4"/>
      <c r="D32" s="7" t="s">
        <v>27</v>
      </c>
      <c r="E32" s="4">
        <v>65</v>
      </c>
    </row>
    <row r="33" spans="1:5">
      <c r="A33" s="7"/>
      <c r="B33" s="4"/>
      <c r="D33" s="8" t="s">
        <v>49</v>
      </c>
      <c r="E33" s="4">
        <v>65</v>
      </c>
    </row>
    <row r="34" spans="1:5">
      <c r="A34" s="8"/>
      <c r="B34" s="4"/>
      <c r="D34" s="7" t="s">
        <v>83</v>
      </c>
      <c r="E34" s="4">
        <v>12</v>
      </c>
    </row>
    <row r="35" spans="1:5">
      <c r="A35" s="8"/>
      <c r="B35" s="4"/>
      <c r="D35" s="8" t="s">
        <v>49</v>
      </c>
      <c r="E35" s="4">
        <v>12</v>
      </c>
    </row>
    <row r="36" spans="1:5">
      <c r="A36" s="7"/>
      <c r="B36" s="4"/>
      <c r="D36" s="7" t="s">
        <v>1476</v>
      </c>
      <c r="E36" s="4">
        <v>234</v>
      </c>
    </row>
    <row r="39" spans="1:5">
      <c r="A39" s="6" t="s">
        <v>9</v>
      </c>
      <c r="B39" t="s">
        <v>49</v>
      </c>
    </row>
    <row r="41" spans="1:5">
      <c r="A41" s="6" t="s">
        <v>1475</v>
      </c>
      <c r="B41" t="s">
        <v>1474</v>
      </c>
    </row>
    <row r="42" spans="1:5">
      <c r="A42" s="7">
        <v>2016</v>
      </c>
      <c r="B42" s="4">
        <v>9</v>
      </c>
    </row>
    <row r="43" spans="1:5">
      <c r="A43" s="7">
        <v>2017</v>
      </c>
      <c r="B43" s="4">
        <v>9</v>
      </c>
    </row>
    <row r="44" spans="1:5">
      <c r="A44" s="7">
        <v>2018</v>
      </c>
      <c r="B44" s="4">
        <v>11</v>
      </c>
    </row>
    <row r="45" spans="1:5">
      <c r="A45" s="7">
        <v>2019</v>
      </c>
      <c r="B45" s="4">
        <v>12</v>
      </c>
    </row>
    <row r="46" spans="1:5">
      <c r="A46" s="7">
        <v>2020</v>
      </c>
      <c r="B46" s="4">
        <v>12</v>
      </c>
    </row>
    <row r="47" spans="1:5">
      <c r="A47" s="7">
        <v>2021</v>
      </c>
      <c r="B47" s="4">
        <v>15</v>
      </c>
    </row>
    <row r="48" spans="1:5">
      <c r="A48" s="7">
        <v>2022</v>
      </c>
      <c r="B48" s="4">
        <v>19</v>
      </c>
    </row>
    <row r="49" spans="1:9">
      <c r="A49" s="7">
        <v>2023</v>
      </c>
      <c r="B49" s="4">
        <v>21</v>
      </c>
    </row>
    <row r="50" spans="1:9">
      <c r="A50" s="7">
        <v>2024</v>
      </c>
      <c r="B50" s="4">
        <v>27</v>
      </c>
    </row>
    <row r="51" spans="1:9">
      <c r="A51" s="7">
        <v>2025</v>
      </c>
      <c r="B51" s="4">
        <v>43</v>
      </c>
    </row>
    <row r="52" spans="1:9">
      <c r="A52" s="7">
        <v>2026</v>
      </c>
      <c r="B52" s="4">
        <v>56</v>
      </c>
    </row>
    <row r="53" spans="1:9">
      <c r="A53" s="7" t="s">
        <v>1476</v>
      </c>
      <c r="B53" s="4">
        <v>234</v>
      </c>
    </row>
    <row r="59" spans="1:9">
      <c r="H59" s="7"/>
      <c r="I59" s="4"/>
    </row>
    <row r="60" spans="1:9">
      <c r="H60" s="8"/>
      <c r="I60" s="4"/>
    </row>
    <row r="61" spans="1:9">
      <c r="H61" s="8"/>
      <c r="I61" s="4"/>
    </row>
    <row r="62" spans="1:9">
      <c r="H62" s="7"/>
      <c r="I62" s="4"/>
    </row>
    <row r="63" spans="1:9">
      <c r="H63" s="8"/>
      <c r="I63" s="4"/>
    </row>
    <row r="64" spans="1:9" ht="15">
      <c r="C64" s="5"/>
      <c r="H64" s="8"/>
      <c r="I64" s="4"/>
    </row>
    <row r="65" spans="2:9">
      <c r="C65" s="4"/>
      <c r="H65" s="7"/>
      <c r="I65" s="4"/>
    </row>
    <row r="66" spans="2:9">
      <c r="C66" s="4"/>
    </row>
    <row r="67" spans="2:9">
      <c r="C67" s="4"/>
    </row>
    <row r="68" spans="2:9">
      <c r="C68" s="4"/>
    </row>
    <row r="69" spans="2:9">
      <c r="B69" s="7"/>
      <c r="C69" s="4"/>
    </row>
    <row r="70" spans="2:9" ht="15">
      <c r="B70" s="10"/>
      <c r="C70" s="11"/>
    </row>
    <row r="76" spans="2:9">
      <c r="D76" s="6" t="s">
        <v>9</v>
      </c>
      <c r="E76" t="s">
        <v>49</v>
      </c>
    </row>
    <row r="78" spans="2:9">
      <c r="D78" s="6" t="s">
        <v>1475</v>
      </c>
      <c r="E78" t="s">
        <v>1474</v>
      </c>
    </row>
    <row r="79" spans="2:9">
      <c r="D79" s="7" t="s">
        <v>23</v>
      </c>
      <c r="E79" s="4">
        <v>97</v>
      </c>
    </row>
    <row r="80" spans="2:9">
      <c r="D80" s="7" t="s">
        <v>48</v>
      </c>
      <c r="E80" s="4">
        <v>47</v>
      </c>
    </row>
    <row r="81" spans="2:5">
      <c r="D81" s="7" t="s">
        <v>41</v>
      </c>
      <c r="E81" s="4">
        <v>18</v>
      </c>
    </row>
    <row r="82" spans="2:5">
      <c r="D82" s="7" t="s">
        <v>33</v>
      </c>
      <c r="E82" s="4">
        <v>63</v>
      </c>
    </row>
    <row r="83" spans="2:5">
      <c r="D83" s="7" t="s">
        <v>114</v>
      </c>
      <c r="E83" s="4">
        <v>9</v>
      </c>
    </row>
    <row r="84" spans="2:5">
      <c r="B84" s="6" t="s">
        <v>9</v>
      </c>
      <c r="C84" t="s">
        <v>49</v>
      </c>
      <c r="D84" s="7" t="s">
        <v>1476</v>
      </c>
      <c r="E84" s="4">
        <v>234</v>
      </c>
    </row>
    <row r="86" spans="2:5">
      <c r="B86" s="6" t="s">
        <v>1475</v>
      </c>
      <c r="C86" t="s">
        <v>1474</v>
      </c>
    </row>
    <row r="87" spans="2:5">
      <c r="B87" s="7" t="s">
        <v>73</v>
      </c>
      <c r="C87" s="4">
        <v>26</v>
      </c>
    </row>
    <row r="88" spans="2:5">
      <c r="B88" s="7" t="s">
        <v>22</v>
      </c>
      <c r="C88" s="4">
        <v>21</v>
      </c>
    </row>
    <row r="89" spans="2:5">
      <c r="B89" s="7" t="s">
        <v>109</v>
      </c>
      <c r="C89" s="4">
        <v>11</v>
      </c>
    </row>
    <row r="90" spans="2:5">
      <c r="B90" s="7" t="s">
        <v>65</v>
      </c>
      <c r="C90" s="4">
        <v>4</v>
      </c>
    </row>
    <row r="91" spans="2:5">
      <c r="B91" s="7" t="s">
        <v>151</v>
      </c>
      <c r="C91" s="4">
        <v>23</v>
      </c>
    </row>
    <row r="92" spans="2:5">
      <c r="B92" s="7" t="s">
        <v>55</v>
      </c>
      <c r="C92" s="4">
        <v>44</v>
      </c>
    </row>
    <row r="93" spans="2:5">
      <c r="B93" s="7" t="s">
        <v>40</v>
      </c>
      <c r="C93" s="4">
        <v>60</v>
      </c>
    </row>
    <row r="94" spans="2:5">
      <c r="B94" s="7" t="s">
        <v>47</v>
      </c>
      <c r="C94" s="4">
        <v>45</v>
      </c>
    </row>
    <row r="95" spans="2:5">
      <c r="B95" s="7" t="s">
        <v>1476</v>
      </c>
      <c r="C95" s="4">
        <v>234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topLeftCell="M1" workbookViewId="0">
      <selection activeCell="S2" sqref="S2"/>
    </sheetView>
  </sheetViews>
  <sheetFormatPr defaultRowHeight="14.25"/>
  <cols>
    <col min="1" max="1" width="21.75" customWidth="1"/>
    <col min="2" max="2" width="27.375" customWidth="1"/>
    <col min="3" max="15" width="21.75" customWidth="1"/>
    <col min="16" max="16" width="27.375" customWidth="1"/>
    <col min="17" max="18" width="21.75" customWidth="1"/>
  </cols>
  <sheetData>
    <row r="1" spans="1:19"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t="s">
        <v>1480</v>
      </c>
    </row>
    <row r="2" spans="1:19" ht="15">
      <c r="A2" t="s">
        <v>18</v>
      </c>
      <c r="B2" t="s">
        <v>19</v>
      </c>
      <c r="C2">
        <v>55</v>
      </c>
      <c r="D2" t="s">
        <v>20</v>
      </c>
      <c r="E2" t="s">
        <v>21</v>
      </c>
      <c r="F2" t="s">
        <v>22</v>
      </c>
      <c r="G2" t="s">
        <v>23</v>
      </c>
      <c r="H2" s="2">
        <v>40981</v>
      </c>
      <c r="I2" s="2" t="str">
        <f>IFERROR(VLOOKUP(HR_Employees[[#This Row],[Employee_ID]],'[1]Synthetic Exit Data'!$A$2:$E$235,4,0)," NA")</f>
        <v xml:space="preserve"> NA</v>
      </c>
      <c r="J2" t="s">
        <v>24</v>
      </c>
      <c r="K2">
        <v>4</v>
      </c>
      <c r="L2" s="3">
        <v>172639</v>
      </c>
      <c r="M2" t="s">
        <v>25</v>
      </c>
      <c r="N2" t="s">
        <v>26</v>
      </c>
      <c r="O2">
        <v>14.58</v>
      </c>
      <c r="P2" t="s">
        <v>27</v>
      </c>
      <c r="Q2" t="s">
        <v>28</v>
      </c>
      <c r="R2">
        <v>2012</v>
      </c>
      <c r="S2" s="12" t="str">
        <f>IF(AND(HR_Employees[[#This Row],[Attrition]]="YES",HR_Employees[[#This Row],[Exit_Date]]&lt;&gt;""),YEAR(HR_Employees[[#This Row],[Exit_Date]]),"")</f>
        <v/>
      </c>
    </row>
    <row r="3" spans="1:19">
      <c r="A3" t="s">
        <v>29</v>
      </c>
      <c r="B3" t="s">
        <v>30</v>
      </c>
      <c r="C3">
        <v>32</v>
      </c>
      <c r="D3" t="s">
        <v>31</v>
      </c>
      <c r="E3" t="s">
        <v>32</v>
      </c>
      <c r="F3" t="s">
        <v>22</v>
      </c>
      <c r="G3" t="s">
        <v>33</v>
      </c>
      <c r="H3" s="2">
        <v>41134</v>
      </c>
      <c r="I3" s="2" t="str">
        <f>IFERROR(VLOOKUP(HR_Employees[[#This Row],[Employee_ID]],'[1]Synthetic Exit Data'!$A$2:$E$235,4,0)," NA")</f>
        <v xml:space="preserve"> NA</v>
      </c>
      <c r="J3" t="s">
        <v>24</v>
      </c>
      <c r="K3">
        <v>4</v>
      </c>
      <c r="L3" s="3">
        <v>52081</v>
      </c>
      <c r="M3" t="s">
        <v>34</v>
      </c>
      <c r="N3" t="s">
        <v>26</v>
      </c>
      <c r="O3">
        <v>14.17</v>
      </c>
      <c r="P3" t="s">
        <v>35</v>
      </c>
      <c r="Q3" t="s">
        <v>36</v>
      </c>
      <c r="R3">
        <v>2012</v>
      </c>
      <c r="S3" t="str">
        <f>IF(AND(HR_Employees[[#This Row],[Attrition]]="YES",HR_Employees[[#This Row],[Exit_Date]]&lt;&gt;""),YEAR(HR_Employees[[#This Row],[Exit_Date]]),"")</f>
        <v/>
      </c>
    </row>
    <row r="4" spans="1:19">
      <c r="A4" t="s">
        <v>37</v>
      </c>
      <c r="B4" t="s">
        <v>38</v>
      </c>
      <c r="C4">
        <v>21</v>
      </c>
      <c r="D4" t="s">
        <v>39</v>
      </c>
      <c r="E4" t="s">
        <v>21</v>
      </c>
      <c r="F4" t="s">
        <v>40</v>
      </c>
      <c r="G4" t="s">
        <v>41</v>
      </c>
      <c r="H4" s="2">
        <v>46004</v>
      </c>
      <c r="I4" s="2" t="str">
        <f>IFERROR(VLOOKUP(HR_Employees[[#This Row],[Employee_ID]],'[1]Synthetic Exit Data'!$A$2:$E$235,4,0)," NA")</f>
        <v xml:space="preserve"> NA</v>
      </c>
      <c r="J4" t="s">
        <v>24</v>
      </c>
      <c r="K4">
        <v>1</v>
      </c>
      <c r="L4" s="3">
        <v>31906</v>
      </c>
      <c r="M4" t="s">
        <v>42</v>
      </c>
      <c r="N4" t="s">
        <v>43</v>
      </c>
      <c r="O4">
        <v>0.83</v>
      </c>
      <c r="P4" t="s">
        <v>27</v>
      </c>
      <c r="Q4" t="s">
        <v>44</v>
      </c>
      <c r="R4">
        <v>2025</v>
      </c>
      <c r="S4" t="str">
        <f>IF(AND(HR_Employees[[#This Row],[Attrition]]="YES",HR_Employees[[#This Row],[Exit_Date]]&lt;&gt;""),YEAR(HR_Employees[[#This Row],[Exit_Date]]),"")</f>
        <v/>
      </c>
    </row>
    <row r="5" spans="1:19">
      <c r="A5" t="s">
        <v>45</v>
      </c>
      <c r="B5" t="s">
        <v>46</v>
      </c>
      <c r="C5">
        <v>29</v>
      </c>
      <c r="D5" t="s">
        <v>31</v>
      </c>
      <c r="E5" t="s">
        <v>21</v>
      </c>
      <c r="F5" t="s">
        <v>47</v>
      </c>
      <c r="G5" t="s">
        <v>48</v>
      </c>
      <c r="H5" s="2">
        <v>44577</v>
      </c>
      <c r="I5" s="2" t="str">
        <f>IFERROR(VLOOKUP(HR_Employees[[#This Row],[Employee_ID]],'[1]Synthetic Exit Data'!$A$2:$E$235,4,0)," NA")</f>
        <v>2026-09-01</v>
      </c>
      <c r="J5" t="s">
        <v>49</v>
      </c>
      <c r="K5">
        <v>3</v>
      </c>
      <c r="L5" s="3">
        <v>42213</v>
      </c>
      <c r="M5" t="s">
        <v>42</v>
      </c>
      <c r="N5" t="s">
        <v>50</v>
      </c>
      <c r="O5">
        <v>4.67</v>
      </c>
      <c r="P5" t="s">
        <v>51</v>
      </c>
      <c r="Q5" t="s">
        <v>36</v>
      </c>
      <c r="R5">
        <v>2022</v>
      </c>
      <c r="S5">
        <f>IF(AND(HR_Employees[[#This Row],[Attrition]]="YES",HR_Employees[[#This Row],[Exit_Date]]&lt;&gt;""),YEAR(HR_Employees[[#This Row],[Exit_Date]]),"")</f>
        <v>2026</v>
      </c>
    </row>
    <row r="6" spans="1:19">
      <c r="A6" t="s">
        <v>52</v>
      </c>
      <c r="B6" t="s">
        <v>53</v>
      </c>
      <c r="C6">
        <v>58</v>
      </c>
      <c r="D6" t="s">
        <v>54</v>
      </c>
      <c r="E6" t="s">
        <v>21</v>
      </c>
      <c r="F6" t="s">
        <v>55</v>
      </c>
      <c r="G6" t="s">
        <v>23</v>
      </c>
      <c r="H6" s="2">
        <v>45913</v>
      </c>
      <c r="I6" s="2" t="str">
        <f>IFERROR(VLOOKUP(HR_Employees[[#This Row],[Employee_ID]],'[1]Synthetic Exit Data'!$A$2:$E$235,4,0)," NA")</f>
        <v xml:space="preserve"> NA</v>
      </c>
      <c r="J6" t="s">
        <v>24</v>
      </c>
      <c r="K6">
        <v>2</v>
      </c>
      <c r="L6" s="3">
        <v>105832</v>
      </c>
      <c r="M6" t="s">
        <v>25</v>
      </c>
      <c r="N6" t="s">
        <v>56</v>
      </c>
      <c r="O6">
        <v>1.08</v>
      </c>
      <c r="P6" t="s">
        <v>57</v>
      </c>
      <c r="Q6" t="s">
        <v>58</v>
      </c>
      <c r="R6">
        <v>2025</v>
      </c>
      <c r="S6" t="str">
        <f>IF(AND(HR_Employees[[#This Row],[Attrition]]="YES",HR_Employees[[#This Row],[Exit_Date]]&lt;&gt;""),YEAR(HR_Employees[[#This Row],[Exit_Date]]),"")</f>
        <v/>
      </c>
    </row>
    <row r="7" spans="1:19">
      <c r="A7" t="s">
        <v>59</v>
      </c>
      <c r="B7" t="s">
        <v>60</v>
      </c>
      <c r="C7">
        <v>40</v>
      </c>
      <c r="D7" t="s">
        <v>61</v>
      </c>
      <c r="E7" t="s">
        <v>21</v>
      </c>
      <c r="F7" t="s">
        <v>40</v>
      </c>
      <c r="G7" t="s">
        <v>33</v>
      </c>
      <c r="H7" s="2">
        <v>44543</v>
      </c>
      <c r="I7" s="2" t="str">
        <f>IFERROR(VLOOKUP(HR_Employees[[#This Row],[Employee_ID]],'[1]Synthetic Exit Data'!$A$2:$E$235,4,0)," NA")</f>
        <v xml:space="preserve"> NA</v>
      </c>
      <c r="J7" t="s">
        <v>24</v>
      </c>
      <c r="K7">
        <v>5</v>
      </c>
      <c r="L7" s="3">
        <v>61012</v>
      </c>
      <c r="M7" t="s">
        <v>34</v>
      </c>
      <c r="N7" t="s">
        <v>50</v>
      </c>
      <c r="O7">
        <v>4.83</v>
      </c>
      <c r="P7" t="s">
        <v>35</v>
      </c>
      <c r="Q7" t="s">
        <v>62</v>
      </c>
      <c r="R7">
        <v>2021</v>
      </c>
      <c r="S7" t="str">
        <f>IF(AND(HR_Employees[[#This Row],[Attrition]]="YES",HR_Employees[[#This Row],[Exit_Date]]&lt;&gt;""),YEAR(HR_Employees[[#This Row],[Exit_Date]]),"")</f>
        <v/>
      </c>
    </row>
    <row r="8" spans="1:19">
      <c r="A8" t="s">
        <v>63</v>
      </c>
      <c r="B8" t="s">
        <v>64</v>
      </c>
      <c r="C8">
        <v>25</v>
      </c>
      <c r="D8" t="s">
        <v>39</v>
      </c>
      <c r="E8" t="s">
        <v>32</v>
      </c>
      <c r="F8" t="s">
        <v>65</v>
      </c>
      <c r="G8" t="s">
        <v>23</v>
      </c>
      <c r="H8" s="2">
        <v>44543</v>
      </c>
      <c r="I8" s="2" t="str">
        <f>IFERROR(VLOOKUP(HR_Employees[[#This Row],[Employee_ID]],'[1]Synthetic Exit Data'!$A$2:$E$235,4,0)," NA")</f>
        <v xml:space="preserve"> NA</v>
      </c>
      <c r="J8" t="s">
        <v>24</v>
      </c>
      <c r="K8">
        <v>4</v>
      </c>
      <c r="L8" s="3">
        <v>90727</v>
      </c>
      <c r="M8" t="s">
        <v>66</v>
      </c>
      <c r="N8" t="s">
        <v>50</v>
      </c>
      <c r="O8">
        <v>4.83</v>
      </c>
      <c r="P8" t="s">
        <v>51</v>
      </c>
      <c r="Q8" t="s">
        <v>36</v>
      </c>
      <c r="R8">
        <v>2021</v>
      </c>
      <c r="S8" t="str">
        <f>IF(AND(HR_Employees[[#This Row],[Attrition]]="YES",HR_Employees[[#This Row],[Exit_Date]]&lt;&gt;""),YEAR(HR_Employees[[#This Row],[Exit_Date]]),"")</f>
        <v/>
      </c>
    </row>
    <row r="9" spans="1:19">
      <c r="A9" t="s">
        <v>67</v>
      </c>
      <c r="B9" t="s">
        <v>68</v>
      </c>
      <c r="C9">
        <v>24</v>
      </c>
      <c r="D9" t="s">
        <v>39</v>
      </c>
      <c r="E9" t="s">
        <v>21</v>
      </c>
      <c r="F9" t="s">
        <v>55</v>
      </c>
      <c r="G9" t="s">
        <v>33</v>
      </c>
      <c r="H9" s="2">
        <v>45974</v>
      </c>
      <c r="I9" s="2" t="str">
        <f>IFERROR(VLOOKUP(HR_Employees[[#This Row],[Employee_ID]],'[1]Synthetic Exit Data'!$A$2:$E$235,4,0)," NA")</f>
        <v xml:space="preserve"> NA</v>
      </c>
      <c r="J9" t="s">
        <v>24</v>
      </c>
      <c r="K9">
        <v>2</v>
      </c>
      <c r="L9" s="3">
        <v>41595</v>
      </c>
      <c r="M9" t="s">
        <v>42</v>
      </c>
      <c r="N9" t="s">
        <v>43</v>
      </c>
      <c r="O9">
        <v>0.92</v>
      </c>
      <c r="P9" t="s">
        <v>27</v>
      </c>
      <c r="Q9" t="s">
        <v>58</v>
      </c>
      <c r="R9">
        <v>2025</v>
      </c>
      <c r="S9" t="str">
        <f>IF(AND(HR_Employees[[#This Row],[Attrition]]="YES",HR_Employees[[#This Row],[Exit_Date]]&lt;&gt;""),YEAR(HR_Employees[[#This Row],[Exit_Date]]),"")</f>
        <v/>
      </c>
    </row>
    <row r="10" spans="1:19">
      <c r="A10" t="s">
        <v>69</v>
      </c>
      <c r="B10" t="s">
        <v>70</v>
      </c>
      <c r="C10">
        <v>25</v>
      </c>
      <c r="D10" t="s">
        <v>39</v>
      </c>
      <c r="E10" t="s">
        <v>21</v>
      </c>
      <c r="F10" t="s">
        <v>40</v>
      </c>
      <c r="G10" t="s">
        <v>33</v>
      </c>
      <c r="H10" s="2">
        <v>46216</v>
      </c>
      <c r="I10" s="2" t="str">
        <f>IFERROR(VLOOKUP(HR_Employees[[#This Row],[Employee_ID]],'[1]Synthetic Exit Data'!$A$2:$E$235,4,0)," NA")</f>
        <v xml:space="preserve"> NA</v>
      </c>
      <c r="J10" t="s">
        <v>24</v>
      </c>
      <c r="K10">
        <v>2</v>
      </c>
      <c r="L10" s="3">
        <v>59571</v>
      </c>
      <c r="M10" t="s">
        <v>34</v>
      </c>
      <c r="N10" t="s">
        <v>43</v>
      </c>
      <c r="O10">
        <v>0.25</v>
      </c>
      <c r="P10" t="s">
        <v>27</v>
      </c>
      <c r="Q10" t="s">
        <v>36</v>
      </c>
      <c r="R10">
        <v>2026</v>
      </c>
      <c r="S10" t="str">
        <f>IF(AND(HR_Employees[[#This Row],[Attrition]]="YES",HR_Employees[[#This Row],[Exit_Date]]&lt;&gt;""),YEAR(HR_Employees[[#This Row],[Exit_Date]]),"")</f>
        <v/>
      </c>
    </row>
    <row r="11" spans="1:19">
      <c r="A11" t="s">
        <v>71</v>
      </c>
      <c r="B11" t="s">
        <v>72</v>
      </c>
      <c r="C11">
        <v>31</v>
      </c>
      <c r="D11" t="s">
        <v>31</v>
      </c>
      <c r="E11" t="s">
        <v>21</v>
      </c>
      <c r="F11" t="s">
        <v>73</v>
      </c>
      <c r="G11" t="s">
        <v>23</v>
      </c>
      <c r="H11" s="2">
        <v>45524</v>
      </c>
      <c r="I11" s="2" t="str">
        <f>IFERROR(VLOOKUP(HR_Employees[[#This Row],[Employee_ID]],'[1]Synthetic Exit Data'!$A$2:$E$235,4,0)," NA")</f>
        <v>2024-12-27</v>
      </c>
      <c r="J11" t="s">
        <v>49</v>
      </c>
      <c r="K11">
        <v>4</v>
      </c>
      <c r="L11" s="3">
        <v>56547</v>
      </c>
      <c r="M11" t="s">
        <v>34</v>
      </c>
      <c r="N11" t="s">
        <v>56</v>
      </c>
      <c r="O11">
        <v>2.08</v>
      </c>
      <c r="P11" t="s">
        <v>27</v>
      </c>
      <c r="Q11" t="s">
        <v>36</v>
      </c>
      <c r="R11">
        <v>2024</v>
      </c>
      <c r="S11">
        <f>IF(AND(HR_Employees[[#This Row],[Attrition]]="YES",HR_Employees[[#This Row],[Exit_Date]]&lt;&gt;""),YEAR(HR_Employees[[#This Row],[Exit_Date]]),"")</f>
        <v>2024</v>
      </c>
    </row>
    <row r="12" spans="1:19">
      <c r="A12" t="s">
        <v>74</v>
      </c>
      <c r="B12" t="s">
        <v>75</v>
      </c>
      <c r="C12">
        <v>26</v>
      </c>
      <c r="D12" t="s">
        <v>31</v>
      </c>
      <c r="E12" t="s">
        <v>21</v>
      </c>
      <c r="F12" t="s">
        <v>47</v>
      </c>
      <c r="G12" t="s">
        <v>33</v>
      </c>
      <c r="H12" s="2">
        <v>44513</v>
      </c>
      <c r="I12" s="2" t="str">
        <f>IFERROR(VLOOKUP(HR_Employees[[#This Row],[Employee_ID]],'[1]Synthetic Exit Data'!$A$2:$E$235,4,0)," NA")</f>
        <v xml:space="preserve"> NA</v>
      </c>
      <c r="J12" t="s">
        <v>24</v>
      </c>
      <c r="K12">
        <v>4</v>
      </c>
      <c r="L12" s="3">
        <v>73923</v>
      </c>
      <c r="M12" t="s">
        <v>34</v>
      </c>
      <c r="N12" t="s">
        <v>50</v>
      </c>
      <c r="O12">
        <v>4.92</v>
      </c>
      <c r="P12" t="s">
        <v>27</v>
      </c>
      <c r="Q12" t="s">
        <v>76</v>
      </c>
      <c r="R12">
        <v>2021</v>
      </c>
      <c r="S12" t="str">
        <f>IF(AND(HR_Employees[[#This Row],[Attrition]]="YES",HR_Employees[[#This Row],[Exit_Date]]&lt;&gt;""),YEAR(HR_Employees[[#This Row],[Exit_Date]]),"")</f>
        <v/>
      </c>
    </row>
    <row r="13" spans="1:19">
      <c r="A13" t="s">
        <v>77</v>
      </c>
      <c r="B13" t="s">
        <v>78</v>
      </c>
      <c r="C13">
        <v>25</v>
      </c>
      <c r="D13" t="s">
        <v>39</v>
      </c>
      <c r="E13" t="s">
        <v>21</v>
      </c>
      <c r="F13" t="s">
        <v>47</v>
      </c>
      <c r="G13" t="s">
        <v>23</v>
      </c>
      <c r="H13" s="2">
        <v>44360</v>
      </c>
      <c r="I13" s="2" t="str">
        <f>IFERROR(VLOOKUP(HR_Employees[[#This Row],[Employee_ID]],'[1]Synthetic Exit Data'!$A$2:$E$235,4,0)," NA")</f>
        <v xml:space="preserve"> NA</v>
      </c>
      <c r="J13" t="s">
        <v>24</v>
      </c>
      <c r="K13">
        <v>2</v>
      </c>
      <c r="L13" s="3">
        <v>83715</v>
      </c>
      <c r="M13" t="s">
        <v>66</v>
      </c>
      <c r="N13" t="s">
        <v>79</v>
      </c>
      <c r="O13">
        <v>5.33</v>
      </c>
      <c r="P13" t="s">
        <v>57</v>
      </c>
      <c r="Q13" t="s">
        <v>58</v>
      </c>
      <c r="R13">
        <v>2021</v>
      </c>
      <c r="S13" t="str">
        <f>IF(AND(HR_Employees[[#This Row],[Attrition]]="YES",HR_Employees[[#This Row],[Exit_Date]]&lt;&gt;""),YEAR(HR_Employees[[#This Row],[Exit_Date]]),"")</f>
        <v/>
      </c>
    </row>
    <row r="14" spans="1:19">
      <c r="A14" t="s">
        <v>80</v>
      </c>
      <c r="B14" t="s">
        <v>81</v>
      </c>
      <c r="C14">
        <v>34</v>
      </c>
      <c r="D14" t="s">
        <v>31</v>
      </c>
      <c r="E14" t="s">
        <v>32</v>
      </c>
      <c r="F14" t="s">
        <v>65</v>
      </c>
      <c r="G14" t="s">
        <v>23</v>
      </c>
      <c r="H14" s="2">
        <v>46155</v>
      </c>
      <c r="I14" s="2" t="str">
        <f>IFERROR(VLOOKUP(HR_Employees[[#This Row],[Employee_ID]],'[1]Synthetic Exit Data'!$A$2:$E$235,4,0)," NA")</f>
        <v xml:space="preserve"> NA</v>
      </c>
      <c r="J14" t="s">
        <v>24</v>
      </c>
      <c r="K14">
        <v>4</v>
      </c>
      <c r="L14" s="3">
        <v>18827</v>
      </c>
      <c r="M14" t="s">
        <v>82</v>
      </c>
      <c r="N14" t="s">
        <v>43</v>
      </c>
      <c r="O14">
        <v>0.42</v>
      </c>
      <c r="P14" t="s">
        <v>83</v>
      </c>
      <c r="Q14" t="s">
        <v>58</v>
      </c>
      <c r="R14">
        <v>2026</v>
      </c>
      <c r="S14" t="str">
        <f>IF(AND(HR_Employees[[#This Row],[Attrition]]="YES",HR_Employees[[#This Row],[Exit_Date]]&lt;&gt;""),YEAR(HR_Employees[[#This Row],[Exit_Date]]),"")</f>
        <v/>
      </c>
    </row>
    <row r="15" spans="1:19">
      <c r="A15" t="s">
        <v>84</v>
      </c>
      <c r="B15" t="s">
        <v>85</v>
      </c>
      <c r="C15">
        <v>51</v>
      </c>
      <c r="D15" t="s">
        <v>20</v>
      </c>
      <c r="E15" t="s">
        <v>21</v>
      </c>
      <c r="F15" t="s">
        <v>40</v>
      </c>
      <c r="G15" t="s">
        <v>33</v>
      </c>
      <c r="H15" s="2">
        <v>46278</v>
      </c>
      <c r="I15" s="2" t="str">
        <f>IFERROR(VLOOKUP(HR_Employees[[#This Row],[Employee_ID]],'[1]Synthetic Exit Data'!$A$2:$E$235,4,0)," NA")</f>
        <v xml:space="preserve"> NA</v>
      </c>
      <c r="J15" t="s">
        <v>24</v>
      </c>
      <c r="K15">
        <v>1</v>
      </c>
      <c r="L15" s="3">
        <v>78689</v>
      </c>
      <c r="M15" t="s">
        <v>66</v>
      </c>
      <c r="N15" t="s">
        <v>43</v>
      </c>
      <c r="O15">
        <v>0.08</v>
      </c>
      <c r="P15" t="s">
        <v>27</v>
      </c>
      <c r="Q15" t="s">
        <v>86</v>
      </c>
      <c r="R15">
        <v>2026</v>
      </c>
      <c r="S15" t="str">
        <f>IF(AND(HR_Employees[[#This Row],[Attrition]]="YES",HR_Employees[[#This Row],[Exit_Date]]&lt;&gt;""),YEAR(HR_Employees[[#This Row],[Exit_Date]]),"")</f>
        <v/>
      </c>
    </row>
    <row r="16" spans="1:19">
      <c r="A16" t="s">
        <v>87</v>
      </c>
      <c r="B16" t="s">
        <v>88</v>
      </c>
      <c r="C16">
        <v>34</v>
      </c>
      <c r="D16" t="s">
        <v>31</v>
      </c>
      <c r="E16" t="s">
        <v>32</v>
      </c>
      <c r="F16" t="s">
        <v>47</v>
      </c>
      <c r="G16" t="s">
        <v>23</v>
      </c>
      <c r="H16" s="2">
        <v>45273</v>
      </c>
      <c r="I16" s="2" t="str">
        <f>IFERROR(VLOOKUP(HR_Employees[[#This Row],[Employee_ID]],'[1]Synthetic Exit Data'!$A$2:$E$235,4,0)," NA")</f>
        <v xml:space="preserve"> NA</v>
      </c>
      <c r="J16" t="s">
        <v>24</v>
      </c>
      <c r="K16">
        <v>4</v>
      </c>
      <c r="L16" s="3">
        <v>29547</v>
      </c>
      <c r="M16" t="s">
        <v>82</v>
      </c>
      <c r="N16" t="s">
        <v>56</v>
      </c>
      <c r="O16">
        <v>2.83</v>
      </c>
      <c r="P16" t="s">
        <v>57</v>
      </c>
      <c r="Q16" t="s">
        <v>36</v>
      </c>
      <c r="R16">
        <v>2023</v>
      </c>
      <c r="S16" t="str">
        <f>IF(AND(HR_Employees[[#This Row],[Attrition]]="YES",HR_Employees[[#This Row],[Exit_Date]]&lt;&gt;""),YEAR(HR_Employees[[#This Row],[Exit_Date]]),"")</f>
        <v/>
      </c>
    </row>
    <row r="17" spans="1:19">
      <c r="A17" t="s">
        <v>89</v>
      </c>
      <c r="B17" t="s">
        <v>90</v>
      </c>
      <c r="C17">
        <v>59</v>
      </c>
      <c r="D17" t="s">
        <v>54</v>
      </c>
      <c r="E17" t="s">
        <v>32</v>
      </c>
      <c r="F17" t="s">
        <v>55</v>
      </c>
      <c r="G17" t="s">
        <v>41</v>
      </c>
      <c r="H17" s="2">
        <v>43964</v>
      </c>
      <c r="I17" s="2" t="str">
        <f>IFERROR(VLOOKUP(HR_Employees[[#This Row],[Employee_ID]],'[1]Synthetic Exit Data'!$A$2:$E$235,4,0)," NA")</f>
        <v xml:space="preserve"> NA</v>
      </c>
      <c r="J17" t="s">
        <v>24</v>
      </c>
      <c r="K17">
        <v>4</v>
      </c>
      <c r="L17" s="3">
        <v>27518</v>
      </c>
      <c r="M17" t="s">
        <v>82</v>
      </c>
      <c r="N17" t="s">
        <v>79</v>
      </c>
      <c r="O17">
        <v>6.42</v>
      </c>
      <c r="P17" t="s">
        <v>35</v>
      </c>
      <c r="Q17" t="s">
        <v>58</v>
      </c>
      <c r="R17">
        <v>2020</v>
      </c>
      <c r="S17" t="str">
        <f>IF(AND(HR_Employees[[#This Row],[Attrition]]="YES",HR_Employees[[#This Row],[Exit_Date]]&lt;&gt;""),YEAR(HR_Employees[[#This Row],[Exit_Date]]),"")</f>
        <v/>
      </c>
    </row>
    <row r="18" spans="1:19">
      <c r="A18" t="s">
        <v>91</v>
      </c>
      <c r="B18" t="s">
        <v>88</v>
      </c>
      <c r="C18">
        <v>21</v>
      </c>
      <c r="D18" t="s">
        <v>39</v>
      </c>
      <c r="E18" t="s">
        <v>21</v>
      </c>
      <c r="F18" t="s">
        <v>73</v>
      </c>
      <c r="G18" t="s">
        <v>33</v>
      </c>
      <c r="H18" s="2">
        <v>46221</v>
      </c>
      <c r="I18" s="2" t="str">
        <f>IFERROR(VLOOKUP(HR_Employees[[#This Row],[Employee_ID]],'[1]Synthetic Exit Data'!$A$2:$E$235,4,0)," NA")</f>
        <v>2026-08-23</v>
      </c>
      <c r="J18" t="s">
        <v>49</v>
      </c>
      <c r="K18">
        <v>4</v>
      </c>
      <c r="L18" s="3">
        <v>22234</v>
      </c>
      <c r="M18" t="s">
        <v>82</v>
      </c>
      <c r="N18" t="s">
        <v>43</v>
      </c>
      <c r="O18">
        <v>0.17</v>
      </c>
      <c r="P18" t="s">
        <v>27</v>
      </c>
      <c r="Q18" t="s">
        <v>92</v>
      </c>
      <c r="R18">
        <v>2026</v>
      </c>
      <c r="S18">
        <f>IF(AND(HR_Employees[[#This Row],[Attrition]]="YES",HR_Employees[[#This Row],[Exit_Date]]&lt;&gt;""),YEAR(HR_Employees[[#This Row],[Exit_Date]]),"")</f>
        <v>2026</v>
      </c>
    </row>
    <row r="19" spans="1:19">
      <c r="A19" t="s">
        <v>93</v>
      </c>
      <c r="B19" t="s">
        <v>94</v>
      </c>
      <c r="C19">
        <v>21</v>
      </c>
      <c r="D19" t="s">
        <v>39</v>
      </c>
      <c r="E19" t="s">
        <v>21</v>
      </c>
      <c r="F19" t="s">
        <v>47</v>
      </c>
      <c r="G19" t="s">
        <v>23</v>
      </c>
      <c r="H19" s="2">
        <v>41530</v>
      </c>
      <c r="I19" s="2" t="str">
        <f>IFERROR(VLOOKUP(HR_Employees[[#This Row],[Employee_ID]],'[1]Synthetic Exit Data'!$A$2:$E$235,4,0)," NA")</f>
        <v xml:space="preserve"> NA</v>
      </c>
      <c r="J19" t="s">
        <v>24</v>
      </c>
      <c r="K19">
        <v>3</v>
      </c>
      <c r="L19" s="3">
        <v>35134</v>
      </c>
      <c r="M19" t="s">
        <v>42</v>
      </c>
      <c r="N19" t="s">
        <v>26</v>
      </c>
      <c r="O19">
        <v>13.08</v>
      </c>
      <c r="P19" t="s">
        <v>51</v>
      </c>
      <c r="Q19" t="s">
        <v>58</v>
      </c>
      <c r="R19">
        <v>2013</v>
      </c>
      <c r="S19" t="str">
        <f>IF(AND(HR_Employees[[#This Row],[Attrition]]="YES",HR_Employees[[#This Row],[Exit_Date]]&lt;&gt;""),YEAR(HR_Employees[[#This Row],[Exit_Date]]),"")</f>
        <v/>
      </c>
    </row>
    <row r="20" spans="1:19">
      <c r="A20" t="s">
        <v>95</v>
      </c>
      <c r="B20" t="s">
        <v>96</v>
      </c>
      <c r="C20">
        <v>57</v>
      </c>
      <c r="D20" t="s">
        <v>54</v>
      </c>
      <c r="E20" t="s">
        <v>21</v>
      </c>
      <c r="F20" t="s">
        <v>47</v>
      </c>
      <c r="G20" t="s">
        <v>48</v>
      </c>
      <c r="H20" s="2">
        <v>44998</v>
      </c>
      <c r="I20" s="2" t="str">
        <f>IFERROR(VLOOKUP(HR_Employees[[#This Row],[Employee_ID]],'[1]Synthetic Exit Data'!$A$2:$E$235,4,0)," NA")</f>
        <v xml:space="preserve"> NA</v>
      </c>
      <c r="J20" t="s">
        <v>24</v>
      </c>
      <c r="K20">
        <v>3</v>
      </c>
      <c r="L20" s="3">
        <v>95339</v>
      </c>
      <c r="M20" t="s">
        <v>66</v>
      </c>
      <c r="N20" t="s">
        <v>50</v>
      </c>
      <c r="O20">
        <v>3.58</v>
      </c>
      <c r="P20" t="s">
        <v>51</v>
      </c>
      <c r="Q20" t="s">
        <v>44</v>
      </c>
      <c r="R20">
        <v>2023</v>
      </c>
      <c r="S20" t="str">
        <f>IF(AND(HR_Employees[[#This Row],[Attrition]]="YES",HR_Employees[[#This Row],[Exit_Date]]&lt;&gt;""),YEAR(HR_Employees[[#This Row],[Exit_Date]]),"")</f>
        <v/>
      </c>
    </row>
    <row r="21" spans="1:19">
      <c r="A21" t="s">
        <v>97</v>
      </c>
      <c r="B21" t="s">
        <v>98</v>
      </c>
      <c r="C21">
        <v>41</v>
      </c>
      <c r="D21" t="s">
        <v>61</v>
      </c>
      <c r="E21" t="s">
        <v>32</v>
      </c>
      <c r="F21" t="s">
        <v>55</v>
      </c>
      <c r="G21" t="s">
        <v>33</v>
      </c>
      <c r="H21" s="2">
        <v>44587</v>
      </c>
      <c r="I21" s="2" t="str">
        <f>IFERROR(VLOOKUP(HR_Employees[[#This Row],[Employee_ID]],'[1]Synthetic Exit Data'!$A$2:$E$235,4,0)," NA")</f>
        <v>2022-08-13</v>
      </c>
      <c r="J21" t="s">
        <v>49</v>
      </c>
      <c r="K21">
        <v>3</v>
      </c>
      <c r="L21" s="3">
        <v>26618</v>
      </c>
      <c r="M21" t="s">
        <v>82</v>
      </c>
      <c r="N21" t="s">
        <v>50</v>
      </c>
      <c r="O21">
        <v>4.67</v>
      </c>
      <c r="P21" t="s">
        <v>57</v>
      </c>
      <c r="Q21" t="s">
        <v>86</v>
      </c>
      <c r="R21">
        <v>2022</v>
      </c>
      <c r="S21">
        <f>IF(AND(HR_Employees[[#This Row],[Attrition]]="YES",HR_Employees[[#This Row],[Exit_Date]]&lt;&gt;""),YEAR(HR_Employees[[#This Row],[Exit_Date]]),"")</f>
        <v>2022</v>
      </c>
    </row>
    <row r="22" spans="1:19">
      <c r="A22" t="s">
        <v>99</v>
      </c>
      <c r="B22" t="s">
        <v>100</v>
      </c>
      <c r="C22">
        <v>39</v>
      </c>
      <c r="D22" t="s">
        <v>61</v>
      </c>
      <c r="E22" t="s">
        <v>32</v>
      </c>
      <c r="F22" t="s">
        <v>47</v>
      </c>
      <c r="G22" t="s">
        <v>33</v>
      </c>
      <c r="H22" s="2">
        <v>44998</v>
      </c>
      <c r="I22" s="2" t="str">
        <f>IFERROR(VLOOKUP(HR_Employees[[#This Row],[Employee_ID]],'[1]Synthetic Exit Data'!$A$2:$E$235,4,0)," NA")</f>
        <v xml:space="preserve"> NA</v>
      </c>
      <c r="J22" t="s">
        <v>24</v>
      </c>
      <c r="K22">
        <v>5</v>
      </c>
      <c r="L22" s="3">
        <v>35814</v>
      </c>
      <c r="M22" t="s">
        <v>42</v>
      </c>
      <c r="N22" t="s">
        <v>50</v>
      </c>
      <c r="O22">
        <v>3.58</v>
      </c>
      <c r="P22" t="s">
        <v>35</v>
      </c>
      <c r="Q22" t="s">
        <v>58</v>
      </c>
      <c r="R22">
        <v>2023</v>
      </c>
      <c r="S22" t="str">
        <f>IF(AND(HR_Employees[[#This Row],[Attrition]]="YES",HR_Employees[[#This Row],[Exit_Date]]&lt;&gt;""),YEAR(HR_Employees[[#This Row],[Exit_Date]]),"")</f>
        <v/>
      </c>
    </row>
    <row r="23" spans="1:19">
      <c r="A23" t="s">
        <v>101</v>
      </c>
      <c r="B23" t="s">
        <v>102</v>
      </c>
      <c r="C23">
        <v>24</v>
      </c>
      <c r="D23" t="s">
        <v>39</v>
      </c>
      <c r="E23" t="s">
        <v>32</v>
      </c>
      <c r="F23" t="s">
        <v>40</v>
      </c>
      <c r="G23" t="s">
        <v>48</v>
      </c>
      <c r="H23" s="2">
        <v>42339</v>
      </c>
      <c r="I23" s="2" t="str">
        <f>IFERROR(VLOOKUP(HR_Employees[[#This Row],[Employee_ID]],'[1]Synthetic Exit Data'!$A$2:$E$235,4,0)," NA")</f>
        <v>2023-12-27</v>
      </c>
      <c r="J23" t="s">
        <v>49</v>
      </c>
      <c r="K23">
        <v>3</v>
      </c>
      <c r="L23" s="3">
        <v>49423</v>
      </c>
      <c r="M23" t="s">
        <v>42</v>
      </c>
      <c r="N23" t="s">
        <v>26</v>
      </c>
      <c r="O23">
        <v>10.67</v>
      </c>
      <c r="P23" t="s">
        <v>35</v>
      </c>
      <c r="Q23" t="s">
        <v>58</v>
      </c>
      <c r="R23">
        <v>2015</v>
      </c>
      <c r="S23">
        <f>IF(AND(HR_Employees[[#This Row],[Attrition]]="YES",HR_Employees[[#This Row],[Exit_Date]]&lt;&gt;""),YEAR(HR_Employees[[#This Row],[Exit_Date]]),"")</f>
        <v>2023</v>
      </c>
    </row>
    <row r="24" spans="1:19">
      <c r="A24" t="s">
        <v>103</v>
      </c>
      <c r="B24" t="s">
        <v>104</v>
      </c>
      <c r="C24">
        <v>30</v>
      </c>
      <c r="D24" t="s">
        <v>31</v>
      </c>
      <c r="E24" t="s">
        <v>21</v>
      </c>
      <c r="F24" t="s">
        <v>55</v>
      </c>
      <c r="G24" t="s">
        <v>48</v>
      </c>
      <c r="H24" s="2">
        <v>43447</v>
      </c>
      <c r="I24" s="2" t="str">
        <f>IFERROR(VLOOKUP(HR_Employees[[#This Row],[Employee_ID]],'[1]Synthetic Exit Data'!$A$2:$E$235,4,0)," NA")</f>
        <v xml:space="preserve"> NA</v>
      </c>
      <c r="J24" t="s">
        <v>24</v>
      </c>
      <c r="K24">
        <v>3</v>
      </c>
      <c r="L24" s="3">
        <v>63278</v>
      </c>
      <c r="M24" t="s">
        <v>34</v>
      </c>
      <c r="N24" t="s">
        <v>79</v>
      </c>
      <c r="O24">
        <v>7.83</v>
      </c>
      <c r="P24" t="s">
        <v>57</v>
      </c>
      <c r="Q24" t="s">
        <v>36</v>
      </c>
      <c r="R24">
        <v>2018</v>
      </c>
      <c r="S24" t="str">
        <f>IF(AND(HR_Employees[[#This Row],[Attrition]]="YES",HR_Employees[[#This Row],[Exit_Date]]&lt;&gt;""),YEAR(HR_Employees[[#This Row],[Exit_Date]]),"")</f>
        <v/>
      </c>
    </row>
    <row r="25" spans="1:19">
      <c r="A25" t="s">
        <v>105</v>
      </c>
      <c r="B25" t="s">
        <v>106</v>
      </c>
      <c r="C25">
        <v>23</v>
      </c>
      <c r="D25" t="s">
        <v>39</v>
      </c>
      <c r="E25" t="s">
        <v>21</v>
      </c>
      <c r="F25" t="s">
        <v>22</v>
      </c>
      <c r="G25" t="s">
        <v>33</v>
      </c>
      <c r="H25" s="2">
        <v>41833</v>
      </c>
      <c r="I25" s="2" t="str">
        <f>IFERROR(VLOOKUP(HR_Employees[[#This Row],[Employee_ID]],'[1]Synthetic Exit Data'!$A$2:$E$235,4,0)," NA")</f>
        <v xml:space="preserve"> NA</v>
      </c>
      <c r="J25" t="s">
        <v>24</v>
      </c>
      <c r="K25">
        <v>1</v>
      </c>
      <c r="L25" s="3">
        <v>35362</v>
      </c>
      <c r="M25" t="s">
        <v>42</v>
      </c>
      <c r="N25" t="s">
        <v>26</v>
      </c>
      <c r="O25">
        <v>12.25</v>
      </c>
      <c r="P25" t="s">
        <v>27</v>
      </c>
      <c r="Q25" t="s">
        <v>58</v>
      </c>
      <c r="R25">
        <v>2014</v>
      </c>
      <c r="S25" t="str">
        <f>IF(AND(HR_Employees[[#This Row],[Attrition]]="YES",HR_Employees[[#This Row],[Exit_Date]]&lt;&gt;""),YEAR(HR_Employees[[#This Row],[Exit_Date]]),"")</f>
        <v/>
      </c>
    </row>
    <row r="26" spans="1:19">
      <c r="A26" t="s">
        <v>107</v>
      </c>
      <c r="B26" t="s">
        <v>108</v>
      </c>
      <c r="C26">
        <v>23</v>
      </c>
      <c r="D26" t="s">
        <v>39</v>
      </c>
      <c r="E26" t="s">
        <v>21</v>
      </c>
      <c r="F26" t="s">
        <v>109</v>
      </c>
      <c r="G26" t="s">
        <v>33</v>
      </c>
      <c r="H26" s="2">
        <v>46074</v>
      </c>
      <c r="I26" s="2" t="str">
        <f>IFERROR(VLOOKUP(HR_Employees[[#This Row],[Employee_ID]],'[1]Synthetic Exit Data'!$A$2:$E$235,4,0)," NA")</f>
        <v>2026-03-19</v>
      </c>
      <c r="J26" t="s">
        <v>49</v>
      </c>
      <c r="K26">
        <v>3</v>
      </c>
      <c r="L26" s="3">
        <v>30541</v>
      </c>
      <c r="M26" t="s">
        <v>42</v>
      </c>
      <c r="N26" t="s">
        <v>43</v>
      </c>
      <c r="O26">
        <v>0.5</v>
      </c>
      <c r="P26" t="s">
        <v>83</v>
      </c>
      <c r="Q26" t="s">
        <v>62</v>
      </c>
      <c r="R26">
        <v>2026</v>
      </c>
      <c r="S26">
        <f>IF(AND(HR_Employees[[#This Row],[Attrition]]="YES",HR_Employees[[#This Row],[Exit_Date]]&lt;&gt;""),YEAR(HR_Employees[[#This Row],[Exit_Date]]),"")</f>
        <v>2026</v>
      </c>
    </row>
    <row r="27" spans="1:19">
      <c r="A27" t="s">
        <v>110</v>
      </c>
      <c r="B27" t="s">
        <v>111</v>
      </c>
      <c r="C27">
        <v>22</v>
      </c>
      <c r="D27" t="s">
        <v>39</v>
      </c>
      <c r="E27" t="s">
        <v>21</v>
      </c>
      <c r="F27" t="s">
        <v>109</v>
      </c>
      <c r="G27" t="s">
        <v>23</v>
      </c>
      <c r="H27" s="2">
        <v>40952</v>
      </c>
      <c r="I27" s="2" t="str">
        <f>IFERROR(VLOOKUP(HR_Employees[[#This Row],[Employee_ID]],'[1]Synthetic Exit Data'!$A$2:$E$235,4,0)," NA")</f>
        <v xml:space="preserve"> NA</v>
      </c>
      <c r="J27" t="s">
        <v>24</v>
      </c>
      <c r="K27">
        <v>4</v>
      </c>
      <c r="L27" s="3">
        <v>49505</v>
      </c>
      <c r="M27" t="s">
        <v>42</v>
      </c>
      <c r="N27" t="s">
        <v>26</v>
      </c>
      <c r="O27">
        <v>14.67</v>
      </c>
      <c r="P27" t="s">
        <v>35</v>
      </c>
      <c r="Q27" t="s">
        <v>28</v>
      </c>
      <c r="R27">
        <v>2012</v>
      </c>
      <c r="S27" t="str">
        <f>IF(AND(HR_Employees[[#This Row],[Attrition]]="YES",HR_Employees[[#This Row],[Exit_Date]]&lt;&gt;""),YEAR(HR_Employees[[#This Row],[Exit_Date]]),"")</f>
        <v/>
      </c>
    </row>
    <row r="28" spans="1:19">
      <c r="A28" t="s">
        <v>112</v>
      </c>
      <c r="B28" t="s">
        <v>113</v>
      </c>
      <c r="C28">
        <v>53</v>
      </c>
      <c r="D28" t="s">
        <v>20</v>
      </c>
      <c r="E28" t="s">
        <v>32</v>
      </c>
      <c r="F28" t="s">
        <v>47</v>
      </c>
      <c r="G28" t="s">
        <v>114</v>
      </c>
      <c r="H28" s="2">
        <v>44939</v>
      </c>
      <c r="I28" s="2" t="str">
        <f>IFERROR(VLOOKUP(HR_Employees[[#This Row],[Employee_ID]],'[1]Synthetic Exit Data'!$A$2:$E$235,4,0)," NA")</f>
        <v xml:space="preserve"> NA</v>
      </c>
      <c r="J28" t="s">
        <v>24</v>
      </c>
      <c r="K28">
        <v>4</v>
      </c>
      <c r="L28" s="3">
        <v>131953</v>
      </c>
      <c r="M28" t="s">
        <v>25</v>
      </c>
      <c r="N28" t="s">
        <v>50</v>
      </c>
      <c r="O28">
        <v>3.75</v>
      </c>
      <c r="P28" t="s">
        <v>35</v>
      </c>
      <c r="Q28" t="s">
        <v>62</v>
      </c>
      <c r="R28">
        <v>2023</v>
      </c>
      <c r="S28" t="str">
        <f>IF(AND(HR_Employees[[#This Row],[Attrition]]="YES",HR_Employees[[#This Row],[Exit_Date]]&lt;&gt;""),YEAR(HR_Employees[[#This Row],[Exit_Date]]),"")</f>
        <v/>
      </c>
    </row>
    <row r="29" spans="1:19">
      <c r="A29" t="s">
        <v>115</v>
      </c>
      <c r="B29" t="s">
        <v>116</v>
      </c>
      <c r="C29">
        <v>26</v>
      </c>
      <c r="D29" t="s">
        <v>31</v>
      </c>
      <c r="E29" t="s">
        <v>21</v>
      </c>
      <c r="F29" t="s">
        <v>47</v>
      </c>
      <c r="G29" t="s">
        <v>23</v>
      </c>
      <c r="H29" s="2">
        <v>41591</v>
      </c>
      <c r="I29" s="2" t="str">
        <f>IFERROR(VLOOKUP(HR_Employees[[#This Row],[Employee_ID]],'[1]Synthetic Exit Data'!$A$2:$E$235,4,0)," NA")</f>
        <v xml:space="preserve"> NA</v>
      </c>
      <c r="J29" t="s">
        <v>24</v>
      </c>
      <c r="K29">
        <v>3</v>
      </c>
      <c r="L29" s="3">
        <v>29697</v>
      </c>
      <c r="M29" t="s">
        <v>82</v>
      </c>
      <c r="N29" t="s">
        <v>26</v>
      </c>
      <c r="O29">
        <v>12.92</v>
      </c>
      <c r="P29" t="s">
        <v>51</v>
      </c>
      <c r="Q29" t="s">
        <v>62</v>
      </c>
      <c r="R29">
        <v>2013</v>
      </c>
      <c r="S29" t="str">
        <f>IF(AND(HR_Employees[[#This Row],[Attrition]]="YES",HR_Employees[[#This Row],[Exit_Date]]&lt;&gt;""),YEAR(HR_Employees[[#This Row],[Exit_Date]]),"")</f>
        <v/>
      </c>
    </row>
    <row r="30" spans="1:19">
      <c r="A30" t="s">
        <v>117</v>
      </c>
      <c r="B30" t="s">
        <v>118</v>
      </c>
      <c r="C30">
        <v>28</v>
      </c>
      <c r="D30" t="s">
        <v>31</v>
      </c>
      <c r="E30" t="s">
        <v>32</v>
      </c>
      <c r="F30" t="s">
        <v>47</v>
      </c>
      <c r="G30" t="s">
        <v>23</v>
      </c>
      <c r="H30" s="2">
        <v>43560</v>
      </c>
      <c r="I30" s="2" t="str">
        <f>IFERROR(VLOOKUP(HR_Employees[[#This Row],[Employee_ID]],'[1]Synthetic Exit Data'!$A$2:$E$235,4,0)," NA")</f>
        <v>2025-10-03</v>
      </c>
      <c r="J30" t="s">
        <v>49</v>
      </c>
      <c r="K30">
        <v>2</v>
      </c>
      <c r="L30" s="3">
        <v>28987</v>
      </c>
      <c r="M30" t="s">
        <v>82</v>
      </c>
      <c r="N30" t="s">
        <v>79</v>
      </c>
      <c r="O30">
        <v>7.42</v>
      </c>
      <c r="P30" t="s">
        <v>35</v>
      </c>
      <c r="Q30" t="s">
        <v>36</v>
      </c>
      <c r="R30">
        <v>2019</v>
      </c>
      <c r="S30">
        <f>IF(AND(HR_Employees[[#This Row],[Attrition]]="YES",HR_Employees[[#This Row],[Exit_Date]]&lt;&gt;""),YEAR(HR_Employees[[#This Row],[Exit_Date]]),"")</f>
        <v>2025</v>
      </c>
    </row>
    <row r="31" spans="1:19">
      <c r="A31" t="s">
        <v>119</v>
      </c>
      <c r="B31" t="s">
        <v>120</v>
      </c>
      <c r="C31">
        <v>40</v>
      </c>
      <c r="D31" t="s">
        <v>61</v>
      </c>
      <c r="E31" t="s">
        <v>32</v>
      </c>
      <c r="F31" t="s">
        <v>109</v>
      </c>
      <c r="G31" t="s">
        <v>23</v>
      </c>
      <c r="H31" s="2">
        <v>46278</v>
      </c>
      <c r="I31" s="2" t="str">
        <f>IFERROR(VLOOKUP(HR_Employees[[#This Row],[Employee_ID]],'[1]Synthetic Exit Data'!$A$2:$E$235,4,0)," NA")</f>
        <v xml:space="preserve"> NA</v>
      </c>
      <c r="J31" t="s">
        <v>24</v>
      </c>
      <c r="K31">
        <v>4</v>
      </c>
      <c r="L31" s="3">
        <v>51306</v>
      </c>
      <c r="M31" t="s">
        <v>34</v>
      </c>
      <c r="N31" t="s">
        <v>43</v>
      </c>
      <c r="O31">
        <v>0.08</v>
      </c>
      <c r="P31" t="s">
        <v>57</v>
      </c>
      <c r="Q31" t="s">
        <v>86</v>
      </c>
      <c r="R31">
        <v>2026</v>
      </c>
      <c r="S31" t="str">
        <f>IF(AND(HR_Employees[[#This Row],[Attrition]]="YES",HR_Employees[[#This Row],[Exit_Date]]&lt;&gt;""),YEAR(HR_Employees[[#This Row],[Exit_Date]]),"")</f>
        <v/>
      </c>
    </row>
    <row r="32" spans="1:19">
      <c r="A32" t="s">
        <v>121</v>
      </c>
      <c r="B32" t="s">
        <v>122</v>
      </c>
      <c r="C32">
        <v>26</v>
      </c>
      <c r="D32" t="s">
        <v>31</v>
      </c>
      <c r="E32" t="s">
        <v>32</v>
      </c>
      <c r="F32" t="s">
        <v>22</v>
      </c>
      <c r="G32" t="s">
        <v>33</v>
      </c>
      <c r="H32" s="2">
        <v>46035</v>
      </c>
      <c r="I32" s="2" t="str">
        <f>IFERROR(VLOOKUP(HR_Employees[[#This Row],[Employee_ID]],'[1]Synthetic Exit Data'!$A$2:$E$235,4,0)," NA")</f>
        <v xml:space="preserve"> NA</v>
      </c>
      <c r="J32" t="s">
        <v>24</v>
      </c>
      <c r="K32">
        <v>3</v>
      </c>
      <c r="L32" s="3">
        <v>66110</v>
      </c>
      <c r="M32" t="s">
        <v>34</v>
      </c>
      <c r="N32" t="s">
        <v>43</v>
      </c>
      <c r="O32">
        <v>0.75</v>
      </c>
      <c r="P32" t="s">
        <v>57</v>
      </c>
      <c r="Q32" t="s">
        <v>58</v>
      </c>
      <c r="R32">
        <v>2026</v>
      </c>
      <c r="S32" t="str">
        <f>IF(AND(HR_Employees[[#This Row],[Attrition]]="YES",HR_Employees[[#This Row],[Exit_Date]]&lt;&gt;""),YEAR(HR_Employees[[#This Row],[Exit_Date]]),"")</f>
        <v/>
      </c>
    </row>
    <row r="33" spans="1:19">
      <c r="A33" t="s">
        <v>123</v>
      </c>
      <c r="B33" t="s">
        <v>124</v>
      </c>
      <c r="C33">
        <v>29</v>
      </c>
      <c r="D33" t="s">
        <v>31</v>
      </c>
      <c r="E33" t="s">
        <v>32</v>
      </c>
      <c r="F33" t="s">
        <v>73</v>
      </c>
      <c r="G33" t="s">
        <v>23</v>
      </c>
      <c r="H33" s="2">
        <v>44908</v>
      </c>
      <c r="I33" s="2" t="str">
        <f>IFERROR(VLOOKUP(HR_Employees[[#This Row],[Employee_ID]],'[1]Synthetic Exit Data'!$A$2:$E$235,4,0)," NA")</f>
        <v xml:space="preserve"> NA</v>
      </c>
      <c r="J33" t="s">
        <v>24</v>
      </c>
      <c r="K33">
        <v>3</v>
      </c>
      <c r="L33" s="3">
        <v>61468</v>
      </c>
      <c r="M33" t="s">
        <v>34</v>
      </c>
      <c r="N33" t="s">
        <v>50</v>
      </c>
      <c r="O33">
        <v>3.83</v>
      </c>
      <c r="P33" t="s">
        <v>125</v>
      </c>
      <c r="Q33" t="s">
        <v>62</v>
      </c>
      <c r="R33">
        <v>2022</v>
      </c>
      <c r="S33" t="str">
        <f>IF(AND(HR_Employees[[#This Row],[Attrition]]="YES",HR_Employees[[#This Row],[Exit_Date]]&lt;&gt;""),YEAR(HR_Employees[[#This Row],[Exit_Date]]),"")</f>
        <v/>
      </c>
    </row>
    <row r="34" spans="1:19">
      <c r="A34" t="s">
        <v>126</v>
      </c>
      <c r="B34" t="s">
        <v>127</v>
      </c>
      <c r="C34">
        <v>44</v>
      </c>
      <c r="D34" t="s">
        <v>61</v>
      </c>
      <c r="E34" t="s">
        <v>21</v>
      </c>
      <c r="F34" t="s">
        <v>47</v>
      </c>
      <c r="G34" t="s">
        <v>33</v>
      </c>
      <c r="H34" s="2">
        <v>45821</v>
      </c>
      <c r="I34" s="2" t="str">
        <f>IFERROR(VLOOKUP(HR_Employees[[#This Row],[Employee_ID]],'[1]Synthetic Exit Data'!$A$2:$E$235,4,0)," NA")</f>
        <v xml:space="preserve"> NA</v>
      </c>
      <c r="J34" t="s">
        <v>24</v>
      </c>
      <c r="K34">
        <v>5</v>
      </c>
      <c r="L34" s="3">
        <v>47600</v>
      </c>
      <c r="M34" t="s">
        <v>42</v>
      </c>
      <c r="N34" t="s">
        <v>56</v>
      </c>
      <c r="O34">
        <v>1.33</v>
      </c>
      <c r="P34" t="s">
        <v>35</v>
      </c>
      <c r="Q34" t="s">
        <v>44</v>
      </c>
      <c r="R34">
        <v>2025</v>
      </c>
      <c r="S34" t="str">
        <f>IF(AND(HR_Employees[[#This Row],[Attrition]]="YES",HR_Employees[[#This Row],[Exit_Date]]&lt;&gt;""),YEAR(HR_Employees[[#This Row],[Exit_Date]]),"")</f>
        <v/>
      </c>
    </row>
    <row r="35" spans="1:19">
      <c r="A35" t="s">
        <v>128</v>
      </c>
      <c r="B35" t="s">
        <v>129</v>
      </c>
      <c r="C35">
        <v>37</v>
      </c>
      <c r="D35" t="s">
        <v>61</v>
      </c>
      <c r="E35" t="s">
        <v>21</v>
      </c>
      <c r="F35" t="s">
        <v>22</v>
      </c>
      <c r="G35" t="s">
        <v>23</v>
      </c>
      <c r="H35" s="2">
        <v>42807</v>
      </c>
      <c r="I35" s="2" t="str">
        <f>IFERROR(VLOOKUP(HR_Employees[[#This Row],[Employee_ID]],'[1]Synthetic Exit Data'!$A$2:$E$235,4,0)," NA")</f>
        <v xml:space="preserve"> NA</v>
      </c>
      <c r="J35" t="s">
        <v>24</v>
      </c>
      <c r="K35">
        <v>3</v>
      </c>
      <c r="L35" s="3">
        <v>38352</v>
      </c>
      <c r="M35" t="s">
        <v>42</v>
      </c>
      <c r="N35" t="s">
        <v>79</v>
      </c>
      <c r="O35">
        <v>9.58</v>
      </c>
      <c r="P35" t="s">
        <v>51</v>
      </c>
      <c r="Q35" t="s">
        <v>44</v>
      </c>
      <c r="R35">
        <v>2017</v>
      </c>
      <c r="S35" t="str">
        <f>IF(AND(HR_Employees[[#This Row],[Attrition]]="YES",HR_Employees[[#This Row],[Exit_Date]]&lt;&gt;""),YEAR(HR_Employees[[#This Row],[Exit_Date]]),"")</f>
        <v/>
      </c>
    </row>
    <row r="36" spans="1:19">
      <c r="A36" t="s">
        <v>130</v>
      </c>
      <c r="B36" t="s">
        <v>60</v>
      </c>
      <c r="C36">
        <v>44</v>
      </c>
      <c r="D36" t="s">
        <v>61</v>
      </c>
      <c r="E36" t="s">
        <v>21</v>
      </c>
      <c r="F36" t="s">
        <v>55</v>
      </c>
      <c r="G36" t="s">
        <v>23</v>
      </c>
      <c r="H36" s="2">
        <v>44360</v>
      </c>
      <c r="I36" s="2" t="str">
        <f>IFERROR(VLOOKUP(HR_Employees[[#This Row],[Employee_ID]],'[1]Synthetic Exit Data'!$A$2:$E$235,4,0)," NA")</f>
        <v xml:space="preserve"> NA</v>
      </c>
      <c r="J36" t="s">
        <v>24</v>
      </c>
      <c r="K36">
        <v>3</v>
      </c>
      <c r="L36" s="3">
        <v>39930</v>
      </c>
      <c r="M36" t="s">
        <v>42</v>
      </c>
      <c r="N36" t="s">
        <v>79</v>
      </c>
      <c r="O36">
        <v>5.33</v>
      </c>
      <c r="P36" t="s">
        <v>27</v>
      </c>
      <c r="Q36" t="s">
        <v>58</v>
      </c>
      <c r="R36">
        <v>2021</v>
      </c>
      <c r="S36" t="str">
        <f>IF(AND(HR_Employees[[#This Row],[Attrition]]="YES",HR_Employees[[#This Row],[Exit_Date]]&lt;&gt;""),YEAR(HR_Employees[[#This Row],[Exit_Date]]),"")</f>
        <v/>
      </c>
    </row>
    <row r="37" spans="1:19">
      <c r="A37" t="s">
        <v>131</v>
      </c>
      <c r="B37" t="s">
        <v>132</v>
      </c>
      <c r="C37">
        <v>25</v>
      </c>
      <c r="D37" t="s">
        <v>39</v>
      </c>
      <c r="E37" t="s">
        <v>32</v>
      </c>
      <c r="F37" t="s">
        <v>47</v>
      </c>
      <c r="G37" t="s">
        <v>33</v>
      </c>
      <c r="H37" s="2">
        <v>46066</v>
      </c>
      <c r="I37" s="2" t="str">
        <f>IFERROR(VLOOKUP(HR_Employees[[#This Row],[Employee_ID]],'[1]Synthetic Exit Data'!$A$2:$E$235,4,0)," NA")</f>
        <v xml:space="preserve"> NA</v>
      </c>
      <c r="J37" t="s">
        <v>24</v>
      </c>
      <c r="K37">
        <v>4</v>
      </c>
      <c r="L37" s="3">
        <v>69520</v>
      </c>
      <c r="M37" t="s">
        <v>34</v>
      </c>
      <c r="N37" t="s">
        <v>43</v>
      </c>
      <c r="O37">
        <v>0.67</v>
      </c>
      <c r="P37" t="s">
        <v>27</v>
      </c>
      <c r="Q37" t="s">
        <v>62</v>
      </c>
      <c r="R37">
        <v>2026</v>
      </c>
      <c r="S37" t="str">
        <f>IF(AND(HR_Employees[[#This Row],[Attrition]]="YES",HR_Employees[[#This Row],[Exit_Date]]&lt;&gt;""),YEAR(HR_Employees[[#This Row],[Exit_Date]]),"")</f>
        <v/>
      </c>
    </row>
    <row r="38" spans="1:19">
      <c r="A38" t="s">
        <v>133</v>
      </c>
      <c r="B38" t="s">
        <v>134</v>
      </c>
      <c r="C38">
        <v>31</v>
      </c>
      <c r="D38" t="s">
        <v>31</v>
      </c>
      <c r="E38" t="s">
        <v>21</v>
      </c>
      <c r="F38" t="s">
        <v>109</v>
      </c>
      <c r="G38" t="s">
        <v>48</v>
      </c>
      <c r="H38" s="2">
        <v>46278</v>
      </c>
      <c r="I38" s="2" t="str">
        <f>IFERROR(VLOOKUP(HR_Employees[[#This Row],[Employee_ID]],'[1]Synthetic Exit Data'!$A$2:$E$235,4,0)," NA")</f>
        <v xml:space="preserve"> NA</v>
      </c>
      <c r="J38" t="s">
        <v>24</v>
      </c>
      <c r="K38">
        <v>2</v>
      </c>
      <c r="L38" s="3">
        <v>53610</v>
      </c>
      <c r="M38" t="s">
        <v>34</v>
      </c>
      <c r="N38" t="s">
        <v>43</v>
      </c>
      <c r="O38">
        <v>0.08</v>
      </c>
      <c r="P38" t="s">
        <v>125</v>
      </c>
      <c r="Q38" t="s">
        <v>92</v>
      </c>
      <c r="R38">
        <v>2026</v>
      </c>
      <c r="S38" t="str">
        <f>IF(AND(HR_Employees[[#This Row],[Attrition]]="YES",HR_Employees[[#This Row],[Exit_Date]]&lt;&gt;""),YEAR(HR_Employees[[#This Row],[Exit_Date]]),"")</f>
        <v/>
      </c>
    </row>
    <row r="39" spans="1:19">
      <c r="A39" t="s">
        <v>135</v>
      </c>
      <c r="B39" t="s">
        <v>136</v>
      </c>
      <c r="C39">
        <v>62</v>
      </c>
      <c r="D39" t="s">
        <v>54</v>
      </c>
      <c r="E39" t="s">
        <v>21</v>
      </c>
      <c r="F39" t="s">
        <v>40</v>
      </c>
      <c r="G39" t="s">
        <v>48</v>
      </c>
      <c r="H39" s="2">
        <v>42351</v>
      </c>
      <c r="I39" s="2" t="str">
        <f>IFERROR(VLOOKUP(HR_Employees[[#This Row],[Employee_ID]],'[1]Synthetic Exit Data'!$A$2:$E$235,4,0)," NA")</f>
        <v xml:space="preserve"> NA</v>
      </c>
      <c r="J39" t="s">
        <v>24</v>
      </c>
      <c r="K39">
        <v>4</v>
      </c>
      <c r="L39" s="3">
        <v>44571</v>
      </c>
      <c r="M39" t="s">
        <v>42</v>
      </c>
      <c r="N39" t="s">
        <v>26</v>
      </c>
      <c r="O39">
        <v>10.83</v>
      </c>
      <c r="P39" t="s">
        <v>57</v>
      </c>
      <c r="Q39" t="s">
        <v>28</v>
      </c>
      <c r="R39">
        <v>2015</v>
      </c>
      <c r="S39" t="str">
        <f>IF(AND(HR_Employees[[#This Row],[Attrition]]="YES",HR_Employees[[#This Row],[Exit_Date]]&lt;&gt;""),YEAR(HR_Employees[[#This Row],[Exit_Date]]),"")</f>
        <v/>
      </c>
    </row>
    <row r="40" spans="1:19">
      <c r="A40" t="s">
        <v>137</v>
      </c>
      <c r="B40" t="s">
        <v>138</v>
      </c>
      <c r="C40">
        <v>47</v>
      </c>
      <c r="D40" t="s">
        <v>20</v>
      </c>
      <c r="E40" t="s">
        <v>32</v>
      </c>
      <c r="F40" t="s">
        <v>40</v>
      </c>
      <c r="G40" t="s">
        <v>41</v>
      </c>
      <c r="H40" s="2">
        <v>45974</v>
      </c>
      <c r="I40" s="2" t="str">
        <f>IFERROR(VLOOKUP(HR_Employees[[#This Row],[Employee_ID]],'[1]Synthetic Exit Data'!$A$2:$E$235,4,0)," NA")</f>
        <v xml:space="preserve"> NA</v>
      </c>
      <c r="J40" t="s">
        <v>24</v>
      </c>
      <c r="K40">
        <v>3</v>
      </c>
      <c r="L40" s="3">
        <v>69024</v>
      </c>
      <c r="M40" t="s">
        <v>34</v>
      </c>
      <c r="N40" t="s">
        <v>43</v>
      </c>
      <c r="O40">
        <v>0.92</v>
      </c>
      <c r="P40" t="s">
        <v>35</v>
      </c>
      <c r="Q40" t="s">
        <v>28</v>
      </c>
      <c r="R40">
        <v>2025</v>
      </c>
      <c r="S40" t="str">
        <f>IF(AND(HR_Employees[[#This Row],[Attrition]]="YES",HR_Employees[[#This Row],[Exit_Date]]&lt;&gt;""),YEAR(HR_Employees[[#This Row],[Exit_Date]]),"")</f>
        <v/>
      </c>
    </row>
    <row r="41" spans="1:19">
      <c r="A41" t="s">
        <v>139</v>
      </c>
      <c r="B41" t="s">
        <v>140</v>
      </c>
      <c r="C41">
        <v>44</v>
      </c>
      <c r="D41" t="s">
        <v>61</v>
      </c>
      <c r="E41" t="s">
        <v>32</v>
      </c>
      <c r="F41" t="s">
        <v>47</v>
      </c>
      <c r="G41" t="s">
        <v>48</v>
      </c>
      <c r="H41" s="2">
        <v>44725</v>
      </c>
      <c r="I41" s="2" t="str">
        <f>IFERROR(VLOOKUP(HR_Employees[[#This Row],[Employee_ID]],'[1]Synthetic Exit Data'!$A$2:$E$235,4,0)," NA")</f>
        <v xml:space="preserve"> NA</v>
      </c>
      <c r="J41" t="s">
        <v>24</v>
      </c>
      <c r="K41">
        <v>1</v>
      </c>
      <c r="L41" s="3">
        <v>73961</v>
      </c>
      <c r="M41" t="s">
        <v>34</v>
      </c>
      <c r="N41" t="s">
        <v>50</v>
      </c>
      <c r="O41">
        <v>4.33</v>
      </c>
      <c r="P41" t="s">
        <v>51</v>
      </c>
      <c r="Q41" t="s">
        <v>76</v>
      </c>
      <c r="R41">
        <v>2022</v>
      </c>
      <c r="S41" t="str">
        <f>IF(AND(HR_Employees[[#This Row],[Attrition]]="YES",HR_Employees[[#This Row],[Exit_Date]]&lt;&gt;""),YEAR(HR_Employees[[#This Row],[Exit_Date]]),"")</f>
        <v/>
      </c>
    </row>
    <row r="42" spans="1:19">
      <c r="A42" t="s">
        <v>141</v>
      </c>
      <c r="B42" t="s">
        <v>142</v>
      </c>
      <c r="C42">
        <v>25</v>
      </c>
      <c r="D42" t="s">
        <v>39</v>
      </c>
      <c r="E42" t="s">
        <v>21</v>
      </c>
      <c r="F42" t="s">
        <v>55</v>
      </c>
      <c r="G42" t="s">
        <v>41</v>
      </c>
      <c r="H42" s="2">
        <v>45029</v>
      </c>
      <c r="I42" s="2" t="str">
        <f>IFERROR(VLOOKUP(HR_Employees[[#This Row],[Employee_ID]],'[1]Synthetic Exit Data'!$A$2:$E$235,4,0)," NA")</f>
        <v xml:space="preserve"> NA</v>
      </c>
      <c r="J42" t="s">
        <v>24</v>
      </c>
      <c r="K42">
        <v>4</v>
      </c>
      <c r="L42" s="3">
        <v>27600</v>
      </c>
      <c r="M42" t="s">
        <v>82</v>
      </c>
      <c r="N42" t="s">
        <v>50</v>
      </c>
      <c r="O42">
        <v>3.5</v>
      </c>
      <c r="P42" t="s">
        <v>51</v>
      </c>
      <c r="Q42" t="s">
        <v>44</v>
      </c>
      <c r="R42">
        <v>2023</v>
      </c>
      <c r="S42" t="str">
        <f>IF(AND(HR_Employees[[#This Row],[Attrition]]="YES",HR_Employees[[#This Row],[Exit_Date]]&lt;&gt;""),YEAR(HR_Employees[[#This Row],[Exit_Date]]),"")</f>
        <v/>
      </c>
    </row>
    <row r="43" spans="1:19">
      <c r="A43" t="s">
        <v>143</v>
      </c>
      <c r="B43" t="s">
        <v>144</v>
      </c>
      <c r="C43">
        <v>27</v>
      </c>
      <c r="D43" t="s">
        <v>31</v>
      </c>
      <c r="E43" t="s">
        <v>32</v>
      </c>
      <c r="F43" t="s">
        <v>47</v>
      </c>
      <c r="G43" t="s">
        <v>23</v>
      </c>
      <c r="H43" s="2">
        <v>46164</v>
      </c>
      <c r="I43" s="2" t="str">
        <f>IFERROR(VLOOKUP(HR_Employees[[#This Row],[Employee_ID]],'[1]Synthetic Exit Data'!$A$2:$E$235,4,0)," NA")</f>
        <v>2026-07-31</v>
      </c>
      <c r="J43" t="s">
        <v>49</v>
      </c>
      <c r="K43">
        <v>3</v>
      </c>
      <c r="L43" s="3">
        <v>44798</v>
      </c>
      <c r="M43" t="s">
        <v>42</v>
      </c>
      <c r="N43" t="s">
        <v>43</v>
      </c>
      <c r="O43">
        <v>0.33</v>
      </c>
      <c r="P43" t="s">
        <v>57</v>
      </c>
      <c r="Q43" t="s">
        <v>28</v>
      </c>
      <c r="R43">
        <v>2026</v>
      </c>
      <c r="S43">
        <f>IF(AND(HR_Employees[[#This Row],[Attrition]]="YES",HR_Employees[[#This Row],[Exit_Date]]&lt;&gt;""),YEAR(HR_Employees[[#This Row],[Exit_Date]]),"")</f>
        <v>2026</v>
      </c>
    </row>
    <row r="44" spans="1:19">
      <c r="A44" t="s">
        <v>145</v>
      </c>
      <c r="B44" t="s">
        <v>146</v>
      </c>
      <c r="C44">
        <v>37</v>
      </c>
      <c r="D44" t="s">
        <v>61</v>
      </c>
      <c r="E44" t="s">
        <v>21</v>
      </c>
      <c r="F44" t="s">
        <v>22</v>
      </c>
      <c r="G44" t="s">
        <v>23</v>
      </c>
      <c r="H44" s="2">
        <v>42807</v>
      </c>
      <c r="I44" s="2" t="str">
        <f>IFERROR(VLOOKUP(HR_Employees[[#This Row],[Employee_ID]],'[1]Synthetic Exit Data'!$A$2:$E$235,4,0)," NA")</f>
        <v xml:space="preserve"> NA</v>
      </c>
      <c r="J44" t="s">
        <v>24</v>
      </c>
      <c r="K44">
        <v>3</v>
      </c>
      <c r="L44" s="3">
        <v>41216</v>
      </c>
      <c r="M44" t="s">
        <v>42</v>
      </c>
      <c r="N44" t="s">
        <v>79</v>
      </c>
      <c r="O44">
        <v>9.58</v>
      </c>
      <c r="P44" t="s">
        <v>51</v>
      </c>
      <c r="Q44" t="s">
        <v>58</v>
      </c>
      <c r="R44">
        <v>2017</v>
      </c>
      <c r="S44" t="str">
        <f>IF(AND(HR_Employees[[#This Row],[Attrition]]="YES",HR_Employees[[#This Row],[Exit_Date]]&lt;&gt;""),YEAR(HR_Employees[[#This Row],[Exit_Date]]),"")</f>
        <v/>
      </c>
    </row>
    <row r="45" spans="1:19">
      <c r="A45" t="s">
        <v>147</v>
      </c>
      <c r="B45" t="s">
        <v>148</v>
      </c>
      <c r="C45">
        <v>33</v>
      </c>
      <c r="D45" t="s">
        <v>31</v>
      </c>
      <c r="E45" t="s">
        <v>21</v>
      </c>
      <c r="F45" t="s">
        <v>55</v>
      </c>
      <c r="G45" t="s">
        <v>48</v>
      </c>
      <c r="H45" s="2">
        <v>42991</v>
      </c>
      <c r="I45" s="2" t="str">
        <f>IFERROR(VLOOKUP(HR_Employees[[#This Row],[Employee_ID]],'[1]Synthetic Exit Data'!$A$2:$E$235,4,0)," NA")</f>
        <v xml:space="preserve"> NA</v>
      </c>
      <c r="J45" t="s">
        <v>24</v>
      </c>
      <c r="K45">
        <v>3</v>
      </c>
      <c r="L45" s="3">
        <v>110621</v>
      </c>
      <c r="M45" t="s">
        <v>25</v>
      </c>
      <c r="N45" t="s">
        <v>79</v>
      </c>
      <c r="O45">
        <v>9.08</v>
      </c>
      <c r="P45" t="s">
        <v>27</v>
      </c>
      <c r="Q45" t="s">
        <v>86</v>
      </c>
      <c r="R45">
        <v>2017</v>
      </c>
      <c r="S45" t="str">
        <f>IF(AND(HR_Employees[[#This Row],[Attrition]]="YES",HR_Employees[[#This Row],[Exit_Date]]&lt;&gt;""),YEAR(HR_Employees[[#This Row],[Exit_Date]]),"")</f>
        <v/>
      </c>
    </row>
    <row r="46" spans="1:19">
      <c r="A46" t="s">
        <v>149</v>
      </c>
      <c r="B46" t="s">
        <v>150</v>
      </c>
      <c r="C46">
        <v>31</v>
      </c>
      <c r="D46" t="s">
        <v>31</v>
      </c>
      <c r="E46" t="s">
        <v>32</v>
      </c>
      <c r="F46" t="s">
        <v>151</v>
      </c>
      <c r="G46" t="s">
        <v>23</v>
      </c>
      <c r="H46" s="2">
        <v>45502</v>
      </c>
      <c r="I46" s="2" t="str">
        <f>IFERROR(VLOOKUP(HR_Employees[[#This Row],[Employee_ID]],'[1]Synthetic Exit Data'!$A$2:$E$235,4,0)," NA")</f>
        <v>2025-03-04</v>
      </c>
      <c r="J46" t="s">
        <v>49</v>
      </c>
      <c r="K46">
        <v>4</v>
      </c>
      <c r="L46" s="3">
        <v>170655</v>
      </c>
      <c r="M46" t="s">
        <v>25</v>
      </c>
      <c r="N46" t="s">
        <v>56</v>
      </c>
      <c r="O46">
        <v>2.17</v>
      </c>
      <c r="P46" t="s">
        <v>125</v>
      </c>
      <c r="Q46" t="s">
        <v>36</v>
      </c>
      <c r="R46">
        <v>2024</v>
      </c>
      <c r="S46">
        <f>IF(AND(HR_Employees[[#This Row],[Attrition]]="YES",HR_Employees[[#This Row],[Exit_Date]]&lt;&gt;""),YEAR(HR_Employees[[#This Row],[Exit_Date]]),"")</f>
        <v>2025</v>
      </c>
    </row>
    <row r="47" spans="1:19">
      <c r="A47" t="s">
        <v>152</v>
      </c>
      <c r="B47" t="s">
        <v>153</v>
      </c>
      <c r="C47">
        <v>31</v>
      </c>
      <c r="D47" t="s">
        <v>31</v>
      </c>
      <c r="E47" t="s">
        <v>32</v>
      </c>
      <c r="F47" t="s">
        <v>55</v>
      </c>
      <c r="G47" t="s">
        <v>23</v>
      </c>
      <c r="H47" s="2">
        <v>45575</v>
      </c>
      <c r="I47" s="2" t="str">
        <f>IFERROR(VLOOKUP(HR_Employees[[#This Row],[Employee_ID]],'[1]Synthetic Exit Data'!$A$2:$E$235,4,0)," NA")</f>
        <v>2024-12-01</v>
      </c>
      <c r="J47" t="s">
        <v>49</v>
      </c>
      <c r="K47">
        <v>4</v>
      </c>
      <c r="L47" s="3">
        <v>37329</v>
      </c>
      <c r="M47" t="s">
        <v>42</v>
      </c>
      <c r="N47" t="s">
        <v>56</v>
      </c>
      <c r="O47">
        <v>1.92</v>
      </c>
      <c r="P47" t="s">
        <v>51</v>
      </c>
      <c r="Q47" t="s">
        <v>36</v>
      </c>
      <c r="R47">
        <v>2024</v>
      </c>
      <c r="S47">
        <f>IF(AND(HR_Employees[[#This Row],[Attrition]]="YES",HR_Employees[[#This Row],[Exit_Date]]&lt;&gt;""),YEAR(HR_Employees[[#This Row],[Exit_Date]]),"")</f>
        <v>2024</v>
      </c>
    </row>
    <row r="48" spans="1:19">
      <c r="A48" t="s">
        <v>154</v>
      </c>
      <c r="B48" t="s">
        <v>155</v>
      </c>
      <c r="C48">
        <v>40</v>
      </c>
      <c r="D48" t="s">
        <v>61</v>
      </c>
      <c r="E48" t="s">
        <v>21</v>
      </c>
      <c r="F48" t="s">
        <v>65</v>
      </c>
      <c r="G48" t="s">
        <v>23</v>
      </c>
      <c r="H48" s="2">
        <v>46186</v>
      </c>
      <c r="I48" s="2" t="str">
        <f>IFERROR(VLOOKUP(HR_Employees[[#This Row],[Employee_ID]],'[1]Synthetic Exit Data'!$A$2:$E$235,4,0)," NA")</f>
        <v xml:space="preserve"> NA</v>
      </c>
      <c r="J48" t="s">
        <v>24</v>
      </c>
      <c r="K48">
        <v>3</v>
      </c>
      <c r="L48" s="3">
        <v>73893</v>
      </c>
      <c r="M48" t="s">
        <v>34</v>
      </c>
      <c r="N48" t="s">
        <v>43</v>
      </c>
      <c r="O48">
        <v>0.33</v>
      </c>
      <c r="P48" t="s">
        <v>51</v>
      </c>
      <c r="Q48" t="s">
        <v>36</v>
      </c>
      <c r="R48">
        <v>2026</v>
      </c>
      <c r="S48" t="str">
        <f>IF(AND(HR_Employees[[#This Row],[Attrition]]="YES",HR_Employees[[#This Row],[Exit_Date]]&lt;&gt;""),YEAR(HR_Employees[[#This Row],[Exit_Date]]),"")</f>
        <v/>
      </c>
    </row>
    <row r="49" spans="1:19">
      <c r="A49" t="s">
        <v>156</v>
      </c>
      <c r="B49" t="s">
        <v>118</v>
      </c>
      <c r="C49">
        <v>29</v>
      </c>
      <c r="D49" t="s">
        <v>31</v>
      </c>
      <c r="E49" t="s">
        <v>32</v>
      </c>
      <c r="F49" t="s">
        <v>55</v>
      </c>
      <c r="G49" t="s">
        <v>48</v>
      </c>
      <c r="H49" s="2">
        <v>45729</v>
      </c>
      <c r="I49" s="2" t="str">
        <f>IFERROR(VLOOKUP(HR_Employees[[#This Row],[Employee_ID]],'[1]Synthetic Exit Data'!$A$2:$E$235,4,0)," NA")</f>
        <v xml:space="preserve"> NA</v>
      </c>
      <c r="J49" t="s">
        <v>24</v>
      </c>
      <c r="K49">
        <v>5</v>
      </c>
      <c r="L49" s="3">
        <v>88333</v>
      </c>
      <c r="M49" t="s">
        <v>66</v>
      </c>
      <c r="N49" t="s">
        <v>56</v>
      </c>
      <c r="O49">
        <v>1.58</v>
      </c>
      <c r="P49" t="s">
        <v>51</v>
      </c>
      <c r="Q49" t="s">
        <v>86</v>
      </c>
      <c r="R49">
        <v>2025</v>
      </c>
      <c r="S49" t="str">
        <f>IF(AND(HR_Employees[[#This Row],[Attrition]]="YES",HR_Employees[[#This Row],[Exit_Date]]&lt;&gt;""),YEAR(HR_Employees[[#This Row],[Exit_Date]]),"")</f>
        <v/>
      </c>
    </row>
    <row r="50" spans="1:19">
      <c r="A50" t="s">
        <v>157</v>
      </c>
      <c r="B50" t="s">
        <v>158</v>
      </c>
      <c r="C50">
        <v>40</v>
      </c>
      <c r="D50" t="s">
        <v>61</v>
      </c>
      <c r="E50" t="s">
        <v>32</v>
      </c>
      <c r="F50" t="s">
        <v>55</v>
      </c>
      <c r="G50" t="s">
        <v>48</v>
      </c>
      <c r="H50" s="2">
        <v>45059</v>
      </c>
      <c r="I50" s="2" t="str">
        <f>IFERROR(VLOOKUP(HR_Employees[[#This Row],[Employee_ID]],'[1]Synthetic Exit Data'!$A$2:$E$235,4,0)," NA")</f>
        <v xml:space="preserve"> NA</v>
      </c>
      <c r="J50" t="s">
        <v>24</v>
      </c>
      <c r="K50">
        <v>4</v>
      </c>
      <c r="L50" s="3">
        <v>35067</v>
      </c>
      <c r="M50" t="s">
        <v>42</v>
      </c>
      <c r="N50" t="s">
        <v>50</v>
      </c>
      <c r="O50">
        <v>3.42</v>
      </c>
      <c r="P50" t="s">
        <v>83</v>
      </c>
      <c r="Q50" t="s">
        <v>62</v>
      </c>
      <c r="R50">
        <v>2023</v>
      </c>
      <c r="S50" t="str">
        <f>IF(AND(HR_Employees[[#This Row],[Attrition]]="YES",HR_Employees[[#This Row],[Exit_Date]]&lt;&gt;""),YEAR(HR_Employees[[#This Row],[Exit_Date]]),"")</f>
        <v/>
      </c>
    </row>
    <row r="51" spans="1:19">
      <c r="A51" t="s">
        <v>159</v>
      </c>
      <c r="B51" t="s">
        <v>108</v>
      </c>
      <c r="C51">
        <v>30</v>
      </c>
      <c r="D51" t="s">
        <v>31</v>
      </c>
      <c r="E51" t="s">
        <v>21</v>
      </c>
      <c r="F51" t="s">
        <v>40</v>
      </c>
      <c r="G51" t="s">
        <v>23</v>
      </c>
      <c r="H51" s="2">
        <v>46247</v>
      </c>
      <c r="I51" s="2" t="str">
        <f>IFERROR(VLOOKUP(HR_Employees[[#This Row],[Employee_ID]],'[1]Synthetic Exit Data'!$A$2:$E$235,4,0)," NA")</f>
        <v xml:space="preserve"> NA</v>
      </c>
      <c r="J51" t="s">
        <v>24</v>
      </c>
      <c r="K51">
        <v>3</v>
      </c>
      <c r="L51" s="3">
        <v>37300</v>
      </c>
      <c r="M51" t="s">
        <v>42</v>
      </c>
      <c r="N51" t="s">
        <v>43</v>
      </c>
      <c r="O51">
        <v>0.17</v>
      </c>
      <c r="P51" t="s">
        <v>27</v>
      </c>
      <c r="Q51" t="s">
        <v>36</v>
      </c>
      <c r="R51">
        <v>2026</v>
      </c>
      <c r="S51" t="str">
        <f>IF(AND(HR_Employees[[#This Row],[Attrition]]="YES",HR_Employees[[#This Row],[Exit_Date]]&lt;&gt;""),YEAR(HR_Employees[[#This Row],[Exit_Date]]),"")</f>
        <v/>
      </c>
    </row>
    <row r="52" spans="1:19">
      <c r="A52" t="s">
        <v>160</v>
      </c>
      <c r="B52" t="s">
        <v>161</v>
      </c>
      <c r="C52">
        <v>26</v>
      </c>
      <c r="D52" t="s">
        <v>31</v>
      </c>
      <c r="E52" t="s">
        <v>32</v>
      </c>
      <c r="F52" t="s">
        <v>109</v>
      </c>
      <c r="G52" t="s">
        <v>33</v>
      </c>
      <c r="H52" s="2">
        <v>45335</v>
      </c>
      <c r="I52" s="2" t="str">
        <f>IFERROR(VLOOKUP(HR_Employees[[#This Row],[Employee_ID]],'[1]Synthetic Exit Data'!$A$2:$E$235,4,0)," NA")</f>
        <v xml:space="preserve"> NA</v>
      </c>
      <c r="J52" t="s">
        <v>24</v>
      </c>
      <c r="K52">
        <v>5</v>
      </c>
      <c r="L52" s="3">
        <v>57825</v>
      </c>
      <c r="M52" t="s">
        <v>34</v>
      </c>
      <c r="N52" t="s">
        <v>56</v>
      </c>
      <c r="O52">
        <v>2.67</v>
      </c>
      <c r="P52" t="s">
        <v>27</v>
      </c>
      <c r="Q52" t="s">
        <v>58</v>
      </c>
      <c r="R52">
        <v>2024</v>
      </c>
      <c r="S52" t="str">
        <f>IF(AND(HR_Employees[[#This Row],[Attrition]]="YES",HR_Employees[[#This Row],[Exit_Date]]&lt;&gt;""),YEAR(HR_Employees[[#This Row],[Exit_Date]]),"")</f>
        <v/>
      </c>
    </row>
    <row r="53" spans="1:19">
      <c r="A53" t="s">
        <v>162</v>
      </c>
      <c r="B53" t="s">
        <v>163</v>
      </c>
      <c r="C53">
        <v>50</v>
      </c>
      <c r="D53" t="s">
        <v>20</v>
      </c>
      <c r="E53" t="s">
        <v>21</v>
      </c>
      <c r="F53" t="s">
        <v>109</v>
      </c>
      <c r="G53" t="s">
        <v>33</v>
      </c>
      <c r="H53" s="2">
        <v>46186</v>
      </c>
      <c r="I53" s="2" t="str">
        <f>IFERROR(VLOOKUP(HR_Employees[[#This Row],[Employee_ID]],'[1]Synthetic Exit Data'!$A$2:$E$235,4,0)," NA")</f>
        <v xml:space="preserve"> NA</v>
      </c>
      <c r="J53" t="s">
        <v>24</v>
      </c>
      <c r="K53">
        <v>4</v>
      </c>
      <c r="L53" s="3">
        <v>88030</v>
      </c>
      <c r="M53" t="s">
        <v>66</v>
      </c>
      <c r="N53" t="s">
        <v>43</v>
      </c>
      <c r="O53">
        <v>0.33</v>
      </c>
      <c r="P53" t="s">
        <v>51</v>
      </c>
      <c r="Q53" t="s">
        <v>62</v>
      </c>
      <c r="R53">
        <v>2026</v>
      </c>
      <c r="S53" t="str">
        <f>IF(AND(HR_Employees[[#This Row],[Attrition]]="YES",HR_Employees[[#This Row],[Exit_Date]]&lt;&gt;""),YEAR(HR_Employees[[#This Row],[Exit_Date]]),"")</f>
        <v/>
      </c>
    </row>
    <row r="54" spans="1:19">
      <c r="A54" t="s">
        <v>164</v>
      </c>
      <c r="B54" t="s">
        <v>165</v>
      </c>
      <c r="C54">
        <v>34</v>
      </c>
      <c r="D54" t="s">
        <v>31</v>
      </c>
      <c r="E54" t="s">
        <v>21</v>
      </c>
      <c r="F54" t="s">
        <v>47</v>
      </c>
      <c r="G54" t="s">
        <v>23</v>
      </c>
      <c r="H54" s="2">
        <v>45364</v>
      </c>
      <c r="I54" s="2" t="str">
        <f>IFERROR(VLOOKUP(HR_Employees[[#This Row],[Employee_ID]],'[1]Synthetic Exit Data'!$A$2:$E$235,4,0)," NA")</f>
        <v xml:space="preserve"> NA</v>
      </c>
      <c r="J54" t="s">
        <v>24</v>
      </c>
      <c r="K54">
        <v>3</v>
      </c>
      <c r="L54" s="3">
        <v>39053</v>
      </c>
      <c r="M54" t="s">
        <v>42</v>
      </c>
      <c r="N54" t="s">
        <v>56</v>
      </c>
      <c r="O54">
        <v>2.58</v>
      </c>
      <c r="P54" t="s">
        <v>57</v>
      </c>
      <c r="Q54" t="s">
        <v>86</v>
      </c>
      <c r="R54">
        <v>2024</v>
      </c>
      <c r="S54" t="str">
        <f>IF(AND(HR_Employees[[#This Row],[Attrition]]="YES",HR_Employees[[#This Row],[Exit_Date]]&lt;&gt;""),YEAR(HR_Employees[[#This Row],[Exit_Date]]),"")</f>
        <v/>
      </c>
    </row>
    <row r="55" spans="1:19">
      <c r="A55" t="s">
        <v>166</v>
      </c>
      <c r="B55" t="s">
        <v>167</v>
      </c>
      <c r="C55">
        <v>32</v>
      </c>
      <c r="D55" t="s">
        <v>31</v>
      </c>
      <c r="E55" t="s">
        <v>21</v>
      </c>
      <c r="F55" t="s">
        <v>40</v>
      </c>
      <c r="G55" t="s">
        <v>48</v>
      </c>
      <c r="H55" s="2">
        <v>45802</v>
      </c>
      <c r="I55" s="2" t="str">
        <f>IFERROR(VLOOKUP(HR_Employees[[#This Row],[Employee_ID]],'[1]Synthetic Exit Data'!$A$2:$E$235,4,0)," NA")</f>
        <v>2025-10-08</v>
      </c>
      <c r="J55" t="s">
        <v>49</v>
      </c>
      <c r="K55">
        <v>1</v>
      </c>
      <c r="L55" s="3">
        <v>57785</v>
      </c>
      <c r="M55" t="s">
        <v>34</v>
      </c>
      <c r="N55" t="s">
        <v>56</v>
      </c>
      <c r="O55">
        <v>1.25</v>
      </c>
      <c r="P55" t="s">
        <v>57</v>
      </c>
      <c r="Q55" t="s">
        <v>76</v>
      </c>
      <c r="R55">
        <v>2025</v>
      </c>
      <c r="S55">
        <f>IF(AND(HR_Employees[[#This Row],[Attrition]]="YES",HR_Employees[[#This Row],[Exit_Date]]&lt;&gt;""),YEAR(HR_Employees[[#This Row],[Exit_Date]]),"")</f>
        <v>2025</v>
      </c>
    </row>
    <row r="56" spans="1:19">
      <c r="A56" t="s">
        <v>168</v>
      </c>
      <c r="B56" t="s">
        <v>169</v>
      </c>
      <c r="C56">
        <v>62</v>
      </c>
      <c r="D56" t="s">
        <v>54</v>
      </c>
      <c r="E56" t="s">
        <v>32</v>
      </c>
      <c r="F56" t="s">
        <v>22</v>
      </c>
      <c r="G56" t="s">
        <v>48</v>
      </c>
      <c r="H56" s="2">
        <v>45760</v>
      </c>
      <c r="I56" s="2" t="str">
        <f>IFERROR(VLOOKUP(HR_Employees[[#This Row],[Employee_ID]],'[1]Synthetic Exit Data'!$A$2:$E$235,4,0)," NA")</f>
        <v xml:space="preserve"> NA</v>
      </c>
      <c r="J56" t="s">
        <v>24</v>
      </c>
      <c r="K56">
        <v>3</v>
      </c>
      <c r="L56" s="3">
        <v>97959</v>
      </c>
      <c r="M56" t="s">
        <v>66</v>
      </c>
      <c r="N56" t="s">
        <v>56</v>
      </c>
      <c r="O56">
        <v>1.5</v>
      </c>
      <c r="P56" t="s">
        <v>51</v>
      </c>
      <c r="Q56" t="s">
        <v>86</v>
      </c>
      <c r="R56">
        <v>2025</v>
      </c>
      <c r="S56" t="str">
        <f>IF(AND(HR_Employees[[#This Row],[Attrition]]="YES",HR_Employees[[#This Row],[Exit_Date]]&lt;&gt;""),YEAR(HR_Employees[[#This Row],[Exit_Date]]),"")</f>
        <v/>
      </c>
    </row>
    <row r="57" spans="1:19">
      <c r="A57" t="s">
        <v>170</v>
      </c>
      <c r="B57" t="s">
        <v>171</v>
      </c>
      <c r="C57">
        <v>21</v>
      </c>
      <c r="D57" t="s">
        <v>39</v>
      </c>
      <c r="E57" t="s">
        <v>21</v>
      </c>
      <c r="F57" t="s">
        <v>55</v>
      </c>
      <c r="G57" t="s">
        <v>33</v>
      </c>
      <c r="H57" s="2">
        <v>44878</v>
      </c>
      <c r="I57" s="2" t="str">
        <f>IFERROR(VLOOKUP(HR_Employees[[#This Row],[Employee_ID]],'[1]Synthetic Exit Data'!$A$2:$E$235,4,0)," NA")</f>
        <v xml:space="preserve"> NA</v>
      </c>
      <c r="J57" t="s">
        <v>24</v>
      </c>
      <c r="K57">
        <v>4</v>
      </c>
      <c r="L57" s="3">
        <v>56318</v>
      </c>
      <c r="M57" t="s">
        <v>34</v>
      </c>
      <c r="N57" t="s">
        <v>50</v>
      </c>
      <c r="O57">
        <v>3.92</v>
      </c>
      <c r="P57" t="s">
        <v>51</v>
      </c>
      <c r="Q57" t="s">
        <v>44</v>
      </c>
      <c r="R57">
        <v>2022</v>
      </c>
      <c r="S57" t="str">
        <f>IF(AND(HR_Employees[[#This Row],[Attrition]]="YES",HR_Employees[[#This Row],[Exit_Date]]&lt;&gt;""),YEAR(HR_Employees[[#This Row],[Exit_Date]]),"")</f>
        <v/>
      </c>
    </row>
    <row r="58" spans="1:19">
      <c r="A58" t="s">
        <v>172</v>
      </c>
      <c r="B58" t="s">
        <v>173</v>
      </c>
      <c r="C58">
        <v>42</v>
      </c>
      <c r="D58" t="s">
        <v>61</v>
      </c>
      <c r="E58" t="s">
        <v>32</v>
      </c>
      <c r="F58" t="s">
        <v>73</v>
      </c>
      <c r="G58" t="s">
        <v>23</v>
      </c>
      <c r="H58" s="2">
        <v>44908</v>
      </c>
      <c r="I58" s="2" t="str">
        <f>IFERROR(VLOOKUP(HR_Employees[[#This Row],[Employee_ID]],'[1]Synthetic Exit Data'!$A$2:$E$235,4,0)," NA")</f>
        <v xml:space="preserve"> NA</v>
      </c>
      <c r="J58" t="s">
        <v>24</v>
      </c>
      <c r="K58">
        <v>2</v>
      </c>
      <c r="L58" s="3">
        <v>102812</v>
      </c>
      <c r="M58" t="s">
        <v>25</v>
      </c>
      <c r="N58" t="s">
        <v>50</v>
      </c>
      <c r="O58">
        <v>3.83</v>
      </c>
      <c r="P58" t="s">
        <v>35</v>
      </c>
      <c r="Q58" t="s">
        <v>44</v>
      </c>
      <c r="R58">
        <v>2022</v>
      </c>
      <c r="S58" t="str">
        <f>IF(AND(HR_Employees[[#This Row],[Attrition]]="YES",HR_Employees[[#This Row],[Exit_Date]]&lt;&gt;""),YEAR(HR_Employees[[#This Row],[Exit_Date]]),"")</f>
        <v/>
      </c>
    </row>
    <row r="59" spans="1:19">
      <c r="A59" t="s">
        <v>174</v>
      </c>
      <c r="B59" t="s">
        <v>175</v>
      </c>
      <c r="C59">
        <v>26</v>
      </c>
      <c r="D59" t="s">
        <v>31</v>
      </c>
      <c r="E59" t="s">
        <v>32</v>
      </c>
      <c r="F59" t="s">
        <v>47</v>
      </c>
      <c r="G59" t="s">
        <v>33</v>
      </c>
      <c r="H59" s="2">
        <v>46216</v>
      </c>
      <c r="I59" s="2" t="str">
        <f>IFERROR(VLOOKUP(HR_Employees[[#This Row],[Employee_ID]],'[1]Synthetic Exit Data'!$A$2:$E$235,4,0)," NA")</f>
        <v xml:space="preserve"> NA</v>
      </c>
      <c r="J59" t="s">
        <v>24</v>
      </c>
      <c r="K59">
        <v>1</v>
      </c>
      <c r="L59" s="3">
        <v>72373</v>
      </c>
      <c r="M59" t="s">
        <v>34</v>
      </c>
      <c r="N59" t="s">
        <v>43</v>
      </c>
      <c r="O59">
        <v>0.25</v>
      </c>
      <c r="P59" t="s">
        <v>57</v>
      </c>
      <c r="Q59" t="s">
        <v>86</v>
      </c>
      <c r="R59">
        <v>2026</v>
      </c>
      <c r="S59" t="str">
        <f>IF(AND(HR_Employees[[#This Row],[Attrition]]="YES",HR_Employees[[#This Row],[Exit_Date]]&lt;&gt;""),YEAR(HR_Employees[[#This Row],[Exit_Date]]),"")</f>
        <v/>
      </c>
    </row>
    <row r="60" spans="1:19">
      <c r="A60" t="s">
        <v>176</v>
      </c>
      <c r="B60" t="s">
        <v>177</v>
      </c>
      <c r="C60">
        <v>44</v>
      </c>
      <c r="D60" t="s">
        <v>61</v>
      </c>
      <c r="E60" t="s">
        <v>21</v>
      </c>
      <c r="F60" t="s">
        <v>55</v>
      </c>
      <c r="G60" t="s">
        <v>41</v>
      </c>
      <c r="H60" s="2">
        <v>46247</v>
      </c>
      <c r="I60" s="2" t="str">
        <f>IFERROR(VLOOKUP(HR_Employees[[#This Row],[Employee_ID]],'[1]Synthetic Exit Data'!$A$2:$E$235,4,0)," NA")</f>
        <v xml:space="preserve"> NA</v>
      </c>
      <c r="J60" t="s">
        <v>24</v>
      </c>
      <c r="K60">
        <v>2</v>
      </c>
      <c r="L60" s="3">
        <v>20796</v>
      </c>
      <c r="M60" t="s">
        <v>82</v>
      </c>
      <c r="N60" t="s">
        <v>43</v>
      </c>
      <c r="O60">
        <v>0.17</v>
      </c>
      <c r="P60" t="s">
        <v>51</v>
      </c>
      <c r="Q60" t="s">
        <v>44</v>
      </c>
      <c r="R60">
        <v>2026</v>
      </c>
      <c r="S60" t="str">
        <f>IF(AND(HR_Employees[[#This Row],[Attrition]]="YES",HR_Employees[[#This Row],[Exit_Date]]&lt;&gt;""),YEAR(HR_Employees[[#This Row],[Exit_Date]]),"")</f>
        <v/>
      </c>
    </row>
    <row r="61" spans="1:19">
      <c r="A61" t="s">
        <v>178</v>
      </c>
      <c r="B61" t="s">
        <v>179</v>
      </c>
      <c r="C61">
        <v>52</v>
      </c>
      <c r="D61" t="s">
        <v>20</v>
      </c>
      <c r="E61" t="s">
        <v>21</v>
      </c>
      <c r="F61" t="s">
        <v>40</v>
      </c>
      <c r="G61" t="s">
        <v>114</v>
      </c>
      <c r="H61" s="2">
        <v>46155</v>
      </c>
      <c r="I61" s="2" t="str">
        <f>IFERROR(VLOOKUP(HR_Employees[[#This Row],[Employee_ID]],'[1]Synthetic Exit Data'!$A$2:$E$235,4,0)," NA")</f>
        <v xml:space="preserve"> NA</v>
      </c>
      <c r="J61" t="s">
        <v>24</v>
      </c>
      <c r="K61">
        <v>3</v>
      </c>
      <c r="L61" s="3">
        <v>40488</v>
      </c>
      <c r="M61" t="s">
        <v>42</v>
      </c>
      <c r="N61" t="s">
        <v>43</v>
      </c>
      <c r="O61">
        <v>0.42</v>
      </c>
      <c r="P61" t="s">
        <v>27</v>
      </c>
      <c r="Q61" t="s">
        <v>58</v>
      </c>
      <c r="R61">
        <v>2026</v>
      </c>
      <c r="S61" t="str">
        <f>IF(AND(HR_Employees[[#This Row],[Attrition]]="YES",HR_Employees[[#This Row],[Exit_Date]]&lt;&gt;""),YEAR(HR_Employees[[#This Row],[Exit_Date]]),"")</f>
        <v/>
      </c>
    </row>
    <row r="62" spans="1:19">
      <c r="A62" t="s">
        <v>180</v>
      </c>
      <c r="B62" t="s">
        <v>181</v>
      </c>
      <c r="C62">
        <v>54</v>
      </c>
      <c r="D62" t="s">
        <v>20</v>
      </c>
      <c r="E62" t="s">
        <v>21</v>
      </c>
      <c r="F62" t="s">
        <v>55</v>
      </c>
      <c r="G62" t="s">
        <v>23</v>
      </c>
      <c r="H62" s="2">
        <v>44908</v>
      </c>
      <c r="I62" s="2" t="str">
        <f>IFERROR(VLOOKUP(HR_Employees[[#This Row],[Employee_ID]],'[1]Synthetic Exit Data'!$A$2:$E$235,4,0)," NA")</f>
        <v xml:space="preserve"> NA</v>
      </c>
      <c r="J62" t="s">
        <v>24</v>
      </c>
      <c r="K62">
        <v>5</v>
      </c>
      <c r="L62" s="3">
        <v>37517</v>
      </c>
      <c r="M62" t="s">
        <v>42</v>
      </c>
      <c r="N62" t="s">
        <v>50</v>
      </c>
      <c r="O62">
        <v>3.83</v>
      </c>
      <c r="P62" t="s">
        <v>83</v>
      </c>
      <c r="Q62" t="s">
        <v>62</v>
      </c>
      <c r="R62">
        <v>2022</v>
      </c>
      <c r="S62" t="str">
        <f>IF(AND(HR_Employees[[#This Row],[Attrition]]="YES",HR_Employees[[#This Row],[Exit_Date]]&lt;&gt;""),YEAR(HR_Employees[[#This Row],[Exit_Date]]),"")</f>
        <v/>
      </c>
    </row>
    <row r="63" spans="1:19">
      <c r="A63" t="s">
        <v>182</v>
      </c>
      <c r="B63" t="s">
        <v>183</v>
      </c>
      <c r="C63">
        <v>27</v>
      </c>
      <c r="D63" t="s">
        <v>31</v>
      </c>
      <c r="E63" t="s">
        <v>32</v>
      </c>
      <c r="F63" t="s">
        <v>47</v>
      </c>
      <c r="G63" t="s">
        <v>33</v>
      </c>
      <c r="H63" s="2">
        <v>45821</v>
      </c>
      <c r="I63" s="2" t="str">
        <f>IFERROR(VLOOKUP(HR_Employees[[#This Row],[Employee_ID]],'[1]Synthetic Exit Data'!$A$2:$E$235,4,0)," NA")</f>
        <v xml:space="preserve"> NA</v>
      </c>
      <c r="J63" t="s">
        <v>24</v>
      </c>
      <c r="K63">
        <v>4</v>
      </c>
      <c r="L63" s="3">
        <v>18066</v>
      </c>
      <c r="M63" t="s">
        <v>82</v>
      </c>
      <c r="N63" t="s">
        <v>56</v>
      </c>
      <c r="O63">
        <v>1.33</v>
      </c>
      <c r="P63" t="s">
        <v>27</v>
      </c>
      <c r="Q63" t="s">
        <v>58</v>
      </c>
      <c r="R63">
        <v>2025</v>
      </c>
      <c r="S63" t="str">
        <f>IF(AND(HR_Employees[[#This Row],[Attrition]]="YES",HR_Employees[[#This Row],[Exit_Date]]&lt;&gt;""),YEAR(HR_Employees[[#This Row],[Exit_Date]]),"")</f>
        <v/>
      </c>
    </row>
    <row r="64" spans="1:19">
      <c r="A64" t="s">
        <v>184</v>
      </c>
      <c r="B64" t="s">
        <v>185</v>
      </c>
      <c r="C64">
        <v>47</v>
      </c>
      <c r="D64" t="s">
        <v>20</v>
      </c>
      <c r="E64" t="s">
        <v>32</v>
      </c>
      <c r="F64" t="s">
        <v>151</v>
      </c>
      <c r="G64" t="s">
        <v>48</v>
      </c>
      <c r="H64" s="2">
        <v>46125</v>
      </c>
      <c r="I64" s="2" t="str">
        <f>IFERROR(VLOOKUP(HR_Employees[[#This Row],[Employee_ID]],'[1]Synthetic Exit Data'!$A$2:$E$235,4,0)," NA")</f>
        <v xml:space="preserve"> NA</v>
      </c>
      <c r="J64" t="s">
        <v>24</v>
      </c>
      <c r="K64">
        <v>4</v>
      </c>
      <c r="L64" s="3">
        <v>123743</v>
      </c>
      <c r="M64" t="s">
        <v>25</v>
      </c>
      <c r="N64" t="s">
        <v>43</v>
      </c>
      <c r="O64">
        <v>0.5</v>
      </c>
      <c r="P64" t="s">
        <v>27</v>
      </c>
      <c r="Q64" t="s">
        <v>44</v>
      </c>
      <c r="R64">
        <v>2026</v>
      </c>
      <c r="S64" t="str">
        <f>IF(AND(HR_Employees[[#This Row],[Attrition]]="YES",HR_Employees[[#This Row],[Exit_Date]]&lt;&gt;""),YEAR(HR_Employees[[#This Row],[Exit_Date]]),"")</f>
        <v/>
      </c>
    </row>
    <row r="65" spans="1:19">
      <c r="A65" t="s">
        <v>186</v>
      </c>
      <c r="B65" t="s">
        <v>187</v>
      </c>
      <c r="C65">
        <v>27</v>
      </c>
      <c r="D65" t="s">
        <v>31</v>
      </c>
      <c r="E65" t="s">
        <v>21</v>
      </c>
      <c r="F65" t="s">
        <v>55</v>
      </c>
      <c r="G65" t="s">
        <v>23</v>
      </c>
      <c r="H65" s="2">
        <v>45821</v>
      </c>
      <c r="I65" s="2" t="str">
        <f>IFERROR(VLOOKUP(HR_Employees[[#This Row],[Employee_ID]],'[1]Synthetic Exit Data'!$A$2:$E$235,4,0)," NA")</f>
        <v xml:space="preserve"> NA</v>
      </c>
      <c r="J65" t="s">
        <v>24</v>
      </c>
      <c r="K65">
        <v>2</v>
      </c>
      <c r="L65" s="3">
        <v>19402</v>
      </c>
      <c r="M65" t="s">
        <v>82</v>
      </c>
      <c r="N65" t="s">
        <v>56</v>
      </c>
      <c r="O65">
        <v>1.33</v>
      </c>
      <c r="P65" t="s">
        <v>125</v>
      </c>
      <c r="Q65" t="s">
        <v>92</v>
      </c>
      <c r="R65">
        <v>2025</v>
      </c>
      <c r="S65" t="str">
        <f>IF(AND(HR_Employees[[#This Row],[Attrition]]="YES",HR_Employees[[#This Row],[Exit_Date]]&lt;&gt;""),YEAR(HR_Employees[[#This Row],[Exit_Date]]),"")</f>
        <v/>
      </c>
    </row>
    <row r="66" spans="1:19">
      <c r="A66" t="s">
        <v>188</v>
      </c>
      <c r="B66" t="s">
        <v>189</v>
      </c>
      <c r="C66">
        <v>28</v>
      </c>
      <c r="D66" t="s">
        <v>31</v>
      </c>
      <c r="E66" t="s">
        <v>21</v>
      </c>
      <c r="F66" t="s">
        <v>40</v>
      </c>
      <c r="G66" t="s">
        <v>23</v>
      </c>
      <c r="H66" s="2">
        <v>45872</v>
      </c>
      <c r="I66" s="2" t="str">
        <f>IFERROR(VLOOKUP(HR_Employees[[#This Row],[Employee_ID]],'[1]Synthetic Exit Data'!$A$2:$E$235,4,0)," NA")</f>
        <v>2025-11-15</v>
      </c>
      <c r="J66" t="s">
        <v>49</v>
      </c>
      <c r="K66">
        <v>3</v>
      </c>
      <c r="L66" s="3">
        <v>84368</v>
      </c>
      <c r="M66" t="s">
        <v>66</v>
      </c>
      <c r="N66" t="s">
        <v>56</v>
      </c>
      <c r="O66">
        <v>1.17</v>
      </c>
      <c r="P66" t="s">
        <v>27</v>
      </c>
      <c r="Q66" t="s">
        <v>76</v>
      </c>
      <c r="R66">
        <v>2025</v>
      </c>
      <c r="S66">
        <f>IF(AND(HR_Employees[[#This Row],[Attrition]]="YES",HR_Employees[[#This Row],[Exit_Date]]&lt;&gt;""),YEAR(HR_Employees[[#This Row],[Exit_Date]]),"")</f>
        <v>2025</v>
      </c>
    </row>
    <row r="67" spans="1:19">
      <c r="A67" t="s">
        <v>190</v>
      </c>
      <c r="B67" t="s">
        <v>104</v>
      </c>
      <c r="C67">
        <v>32</v>
      </c>
      <c r="D67" t="s">
        <v>31</v>
      </c>
      <c r="E67" t="s">
        <v>32</v>
      </c>
      <c r="F67" t="s">
        <v>40</v>
      </c>
      <c r="G67" t="s">
        <v>23</v>
      </c>
      <c r="H67" s="2">
        <v>44817</v>
      </c>
      <c r="I67" s="2" t="str">
        <f>IFERROR(VLOOKUP(HR_Employees[[#This Row],[Employee_ID]],'[1]Synthetic Exit Data'!$A$2:$E$235,4,0)," NA")</f>
        <v xml:space="preserve"> NA</v>
      </c>
      <c r="J67" t="s">
        <v>24</v>
      </c>
      <c r="K67">
        <v>3</v>
      </c>
      <c r="L67" s="3">
        <v>91966</v>
      </c>
      <c r="M67" t="s">
        <v>66</v>
      </c>
      <c r="N67" t="s">
        <v>50</v>
      </c>
      <c r="O67">
        <v>4.08</v>
      </c>
      <c r="P67" t="s">
        <v>35</v>
      </c>
      <c r="Q67" t="s">
        <v>44</v>
      </c>
      <c r="R67">
        <v>2022</v>
      </c>
      <c r="S67" t="str">
        <f>IF(AND(HR_Employees[[#This Row],[Attrition]]="YES",HR_Employees[[#This Row],[Exit_Date]]&lt;&gt;""),YEAR(HR_Employees[[#This Row],[Exit_Date]]),"")</f>
        <v/>
      </c>
    </row>
    <row r="68" spans="1:19">
      <c r="A68" t="s">
        <v>191</v>
      </c>
      <c r="B68" t="s">
        <v>192</v>
      </c>
      <c r="C68">
        <v>22</v>
      </c>
      <c r="D68" t="s">
        <v>39</v>
      </c>
      <c r="E68" t="s">
        <v>21</v>
      </c>
      <c r="F68" t="s">
        <v>22</v>
      </c>
      <c r="G68" t="s">
        <v>23</v>
      </c>
      <c r="H68" s="2">
        <v>46278</v>
      </c>
      <c r="I68" s="2" t="str">
        <f>IFERROR(VLOOKUP(HR_Employees[[#This Row],[Employee_ID]],'[1]Synthetic Exit Data'!$A$2:$E$235,4,0)," NA")</f>
        <v xml:space="preserve"> NA</v>
      </c>
      <c r="J68" t="s">
        <v>24</v>
      </c>
      <c r="K68">
        <v>3</v>
      </c>
      <c r="L68" s="3">
        <v>32126</v>
      </c>
      <c r="M68" t="s">
        <v>42</v>
      </c>
      <c r="N68" t="s">
        <v>43</v>
      </c>
      <c r="O68">
        <v>0.08</v>
      </c>
      <c r="P68" t="s">
        <v>57</v>
      </c>
      <c r="Q68" t="s">
        <v>28</v>
      </c>
      <c r="R68">
        <v>2026</v>
      </c>
      <c r="S68" t="str">
        <f>IF(AND(HR_Employees[[#This Row],[Attrition]]="YES",HR_Employees[[#This Row],[Exit_Date]]&lt;&gt;""),YEAR(HR_Employees[[#This Row],[Exit_Date]]),"")</f>
        <v/>
      </c>
    </row>
    <row r="69" spans="1:19">
      <c r="A69" t="s">
        <v>193</v>
      </c>
      <c r="B69" t="s">
        <v>194</v>
      </c>
      <c r="C69">
        <v>41</v>
      </c>
      <c r="D69" t="s">
        <v>61</v>
      </c>
      <c r="E69" t="s">
        <v>21</v>
      </c>
      <c r="F69" t="s">
        <v>40</v>
      </c>
      <c r="G69" t="s">
        <v>23</v>
      </c>
      <c r="H69" s="2">
        <v>45578</v>
      </c>
      <c r="I69" s="2" t="str">
        <f>IFERROR(VLOOKUP(HR_Employees[[#This Row],[Employee_ID]],'[1]Synthetic Exit Data'!$A$2:$E$235,4,0)," NA")</f>
        <v xml:space="preserve"> NA</v>
      </c>
      <c r="J69" t="s">
        <v>24</v>
      </c>
      <c r="K69">
        <v>4</v>
      </c>
      <c r="L69" s="3">
        <v>65606</v>
      </c>
      <c r="M69" t="s">
        <v>34</v>
      </c>
      <c r="N69" t="s">
        <v>56</v>
      </c>
      <c r="O69">
        <v>2</v>
      </c>
      <c r="P69" t="s">
        <v>27</v>
      </c>
      <c r="Q69" t="s">
        <v>62</v>
      </c>
      <c r="R69">
        <v>2024</v>
      </c>
      <c r="S69" t="str">
        <f>IF(AND(HR_Employees[[#This Row],[Attrition]]="YES",HR_Employees[[#This Row],[Exit_Date]]&lt;&gt;""),YEAR(HR_Employees[[#This Row],[Exit_Date]]),"")</f>
        <v/>
      </c>
    </row>
    <row r="70" spans="1:19">
      <c r="A70" t="s">
        <v>195</v>
      </c>
      <c r="B70" t="s">
        <v>196</v>
      </c>
      <c r="C70">
        <v>62</v>
      </c>
      <c r="D70" t="s">
        <v>54</v>
      </c>
      <c r="E70" t="s">
        <v>32</v>
      </c>
      <c r="F70" t="s">
        <v>47</v>
      </c>
      <c r="G70" t="s">
        <v>114</v>
      </c>
      <c r="H70" s="2">
        <v>45548</v>
      </c>
      <c r="I70" s="2" t="str">
        <f>IFERROR(VLOOKUP(HR_Employees[[#This Row],[Employee_ID]],'[1]Synthetic Exit Data'!$A$2:$E$235,4,0)," NA")</f>
        <v xml:space="preserve"> NA</v>
      </c>
      <c r="J70" t="s">
        <v>24</v>
      </c>
      <c r="K70">
        <v>3</v>
      </c>
      <c r="L70" s="3">
        <v>164506</v>
      </c>
      <c r="M70" t="s">
        <v>25</v>
      </c>
      <c r="N70" t="s">
        <v>56</v>
      </c>
      <c r="O70">
        <v>2.08</v>
      </c>
      <c r="P70" t="s">
        <v>35</v>
      </c>
      <c r="Q70" t="s">
        <v>28</v>
      </c>
      <c r="R70">
        <v>2024</v>
      </c>
      <c r="S70" t="str">
        <f>IF(AND(HR_Employees[[#This Row],[Attrition]]="YES",HR_Employees[[#This Row],[Exit_Date]]&lt;&gt;""),YEAR(HR_Employees[[#This Row],[Exit_Date]]),"")</f>
        <v/>
      </c>
    </row>
    <row r="71" spans="1:19">
      <c r="A71" t="s">
        <v>197</v>
      </c>
      <c r="B71" t="s">
        <v>183</v>
      </c>
      <c r="C71">
        <v>25</v>
      </c>
      <c r="D71" t="s">
        <v>39</v>
      </c>
      <c r="E71" t="s">
        <v>21</v>
      </c>
      <c r="F71" t="s">
        <v>151</v>
      </c>
      <c r="G71" t="s">
        <v>48</v>
      </c>
      <c r="H71" s="2">
        <v>45425</v>
      </c>
      <c r="I71" s="2" t="str">
        <f>IFERROR(VLOOKUP(HR_Employees[[#This Row],[Employee_ID]],'[1]Synthetic Exit Data'!$A$2:$E$235,4,0)," NA")</f>
        <v xml:space="preserve"> NA</v>
      </c>
      <c r="J71" t="s">
        <v>24</v>
      </c>
      <c r="K71">
        <v>3</v>
      </c>
      <c r="L71" s="3">
        <v>35630</v>
      </c>
      <c r="M71" t="s">
        <v>42</v>
      </c>
      <c r="N71" t="s">
        <v>56</v>
      </c>
      <c r="O71">
        <v>2.42</v>
      </c>
      <c r="P71" t="s">
        <v>83</v>
      </c>
      <c r="Q71" t="s">
        <v>44</v>
      </c>
      <c r="R71">
        <v>2024</v>
      </c>
      <c r="S71" t="str">
        <f>IF(AND(HR_Employees[[#This Row],[Attrition]]="YES",HR_Employees[[#This Row],[Exit_Date]]&lt;&gt;""),YEAR(HR_Employees[[#This Row],[Exit_Date]]),"")</f>
        <v/>
      </c>
    </row>
    <row r="72" spans="1:19">
      <c r="A72" t="s">
        <v>198</v>
      </c>
      <c r="B72" t="s">
        <v>199</v>
      </c>
      <c r="C72">
        <v>30</v>
      </c>
      <c r="D72" t="s">
        <v>31</v>
      </c>
      <c r="E72" t="s">
        <v>32</v>
      </c>
      <c r="F72" t="s">
        <v>73</v>
      </c>
      <c r="G72" t="s">
        <v>23</v>
      </c>
      <c r="H72" s="2">
        <v>44817</v>
      </c>
      <c r="I72" s="2" t="str">
        <f>IFERROR(VLOOKUP(HR_Employees[[#This Row],[Employee_ID]],'[1]Synthetic Exit Data'!$A$2:$E$235,4,0)," NA")</f>
        <v xml:space="preserve"> NA</v>
      </c>
      <c r="J72" t="s">
        <v>24</v>
      </c>
      <c r="K72">
        <v>3</v>
      </c>
      <c r="L72" s="3">
        <v>23884</v>
      </c>
      <c r="M72" t="s">
        <v>82</v>
      </c>
      <c r="N72" t="s">
        <v>50</v>
      </c>
      <c r="O72">
        <v>4.08</v>
      </c>
      <c r="P72" t="s">
        <v>35</v>
      </c>
      <c r="Q72" t="s">
        <v>76</v>
      </c>
      <c r="R72">
        <v>2022</v>
      </c>
      <c r="S72" t="str">
        <f>IF(AND(HR_Employees[[#This Row],[Attrition]]="YES",HR_Employees[[#This Row],[Exit_Date]]&lt;&gt;""),YEAR(HR_Employees[[#This Row],[Exit_Date]]),"")</f>
        <v/>
      </c>
    </row>
    <row r="73" spans="1:19">
      <c r="A73" t="s">
        <v>200</v>
      </c>
      <c r="B73" t="s">
        <v>201</v>
      </c>
      <c r="C73">
        <v>28</v>
      </c>
      <c r="D73" t="s">
        <v>31</v>
      </c>
      <c r="E73" t="s">
        <v>21</v>
      </c>
      <c r="F73" t="s">
        <v>40</v>
      </c>
      <c r="G73" t="s">
        <v>23</v>
      </c>
      <c r="H73" s="2">
        <v>46089</v>
      </c>
      <c r="I73" s="2" t="str">
        <f>IFERROR(VLOOKUP(HR_Employees[[#This Row],[Employee_ID]],'[1]Synthetic Exit Data'!$A$2:$E$235,4,0)," NA")</f>
        <v>2026-09-21</v>
      </c>
      <c r="J73" t="s">
        <v>49</v>
      </c>
      <c r="K73">
        <v>2</v>
      </c>
      <c r="L73" s="3">
        <v>34406</v>
      </c>
      <c r="M73" t="s">
        <v>42</v>
      </c>
      <c r="N73" t="s">
        <v>43</v>
      </c>
      <c r="O73">
        <v>0.57999999999999996</v>
      </c>
      <c r="P73" t="s">
        <v>27</v>
      </c>
      <c r="Q73" t="s">
        <v>76</v>
      </c>
      <c r="R73">
        <v>2026</v>
      </c>
      <c r="S73">
        <f>IF(AND(HR_Employees[[#This Row],[Attrition]]="YES",HR_Employees[[#This Row],[Exit_Date]]&lt;&gt;""),YEAR(HR_Employees[[#This Row],[Exit_Date]]),"")</f>
        <v>2026</v>
      </c>
    </row>
    <row r="74" spans="1:19">
      <c r="A74" t="s">
        <v>202</v>
      </c>
      <c r="B74" t="s">
        <v>203</v>
      </c>
      <c r="C74">
        <v>48</v>
      </c>
      <c r="D74" t="s">
        <v>20</v>
      </c>
      <c r="E74" t="s">
        <v>32</v>
      </c>
      <c r="F74" t="s">
        <v>40</v>
      </c>
      <c r="G74" t="s">
        <v>48</v>
      </c>
      <c r="H74" s="2">
        <v>46216</v>
      </c>
      <c r="I74" s="2" t="str">
        <f>IFERROR(VLOOKUP(HR_Employees[[#This Row],[Employee_ID]],'[1]Synthetic Exit Data'!$A$2:$E$235,4,0)," NA")</f>
        <v xml:space="preserve"> NA</v>
      </c>
      <c r="J74" t="s">
        <v>24</v>
      </c>
      <c r="K74">
        <v>3</v>
      </c>
      <c r="L74" s="3">
        <v>54983</v>
      </c>
      <c r="M74" t="s">
        <v>34</v>
      </c>
      <c r="N74" t="s">
        <v>43</v>
      </c>
      <c r="O74">
        <v>0.25</v>
      </c>
      <c r="P74" t="s">
        <v>35</v>
      </c>
      <c r="Q74" t="s">
        <v>58</v>
      </c>
      <c r="R74">
        <v>2026</v>
      </c>
      <c r="S74" t="str">
        <f>IF(AND(HR_Employees[[#This Row],[Attrition]]="YES",HR_Employees[[#This Row],[Exit_Date]]&lt;&gt;""),YEAR(HR_Employees[[#This Row],[Exit_Date]]),"")</f>
        <v/>
      </c>
    </row>
    <row r="75" spans="1:19">
      <c r="A75" t="s">
        <v>204</v>
      </c>
      <c r="B75" t="s">
        <v>205</v>
      </c>
      <c r="C75">
        <v>27</v>
      </c>
      <c r="D75" t="s">
        <v>31</v>
      </c>
      <c r="E75" t="s">
        <v>21</v>
      </c>
      <c r="F75" t="s">
        <v>40</v>
      </c>
      <c r="G75" t="s">
        <v>23</v>
      </c>
      <c r="H75" s="2">
        <v>40525</v>
      </c>
      <c r="I75" s="2" t="str">
        <f>IFERROR(VLOOKUP(HR_Employees[[#This Row],[Employee_ID]],'[1]Synthetic Exit Data'!$A$2:$E$235,4,0)," NA")</f>
        <v xml:space="preserve"> NA</v>
      </c>
      <c r="J75" t="s">
        <v>24</v>
      </c>
      <c r="K75">
        <v>1</v>
      </c>
      <c r="L75" s="3">
        <v>83824</v>
      </c>
      <c r="M75" t="s">
        <v>66</v>
      </c>
      <c r="N75" t="s">
        <v>26</v>
      </c>
      <c r="O75">
        <v>15.83</v>
      </c>
      <c r="P75" t="s">
        <v>83</v>
      </c>
      <c r="Q75" t="s">
        <v>92</v>
      </c>
      <c r="R75">
        <v>2010</v>
      </c>
      <c r="S75" t="str">
        <f>IF(AND(HR_Employees[[#This Row],[Attrition]]="YES",HR_Employees[[#This Row],[Exit_Date]]&lt;&gt;""),YEAR(HR_Employees[[#This Row],[Exit_Date]]),"")</f>
        <v/>
      </c>
    </row>
    <row r="76" spans="1:19">
      <c r="A76" t="s">
        <v>206</v>
      </c>
      <c r="B76" t="s">
        <v>207</v>
      </c>
      <c r="C76">
        <v>37</v>
      </c>
      <c r="D76" t="s">
        <v>61</v>
      </c>
      <c r="E76" t="s">
        <v>21</v>
      </c>
      <c r="F76" t="s">
        <v>22</v>
      </c>
      <c r="G76" t="s">
        <v>23</v>
      </c>
      <c r="H76" s="2">
        <v>44694</v>
      </c>
      <c r="I76" s="2" t="str">
        <f>IFERROR(VLOOKUP(HR_Employees[[#This Row],[Employee_ID]],'[1]Synthetic Exit Data'!$A$2:$E$235,4,0)," NA")</f>
        <v xml:space="preserve"> NA</v>
      </c>
      <c r="J76" t="s">
        <v>24</v>
      </c>
      <c r="K76">
        <v>3</v>
      </c>
      <c r="L76" s="3">
        <v>54830</v>
      </c>
      <c r="M76" t="s">
        <v>34</v>
      </c>
      <c r="N76" t="s">
        <v>50</v>
      </c>
      <c r="O76">
        <v>4.42</v>
      </c>
      <c r="P76" t="s">
        <v>35</v>
      </c>
      <c r="Q76" t="s">
        <v>36</v>
      </c>
      <c r="R76">
        <v>2022</v>
      </c>
      <c r="S76" t="str">
        <f>IF(AND(HR_Employees[[#This Row],[Attrition]]="YES",HR_Employees[[#This Row],[Exit_Date]]&lt;&gt;""),YEAR(HR_Employees[[#This Row],[Exit_Date]]),"")</f>
        <v/>
      </c>
    </row>
    <row r="77" spans="1:19">
      <c r="A77" t="s">
        <v>208</v>
      </c>
      <c r="B77" t="s">
        <v>209</v>
      </c>
      <c r="C77">
        <v>26</v>
      </c>
      <c r="D77" t="s">
        <v>31</v>
      </c>
      <c r="E77" t="s">
        <v>21</v>
      </c>
      <c r="F77" t="s">
        <v>73</v>
      </c>
      <c r="G77" t="s">
        <v>33</v>
      </c>
      <c r="H77" s="2">
        <v>45088</v>
      </c>
      <c r="I77" s="2" t="str">
        <f>IFERROR(VLOOKUP(HR_Employees[[#This Row],[Employee_ID]],'[1]Synthetic Exit Data'!$A$2:$E$235,4,0)," NA")</f>
        <v>2023-11-20</v>
      </c>
      <c r="J77" t="s">
        <v>49</v>
      </c>
      <c r="K77">
        <v>3</v>
      </c>
      <c r="L77" s="3">
        <v>21639</v>
      </c>
      <c r="M77" t="s">
        <v>82</v>
      </c>
      <c r="N77" t="s">
        <v>50</v>
      </c>
      <c r="O77">
        <v>3.17</v>
      </c>
      <c r="P77" t="s">
        <v>27</v>
      </c>
      <c r="Q77" t="s">
        <v>58</v>
      </c>
      <c r="R77">
        <v>2023</v>
      </c>
      <c r="S77">
        <f>IF(AND(HR_Employees[[#This Row],[Attrition]]="YES",HR_Employees[[#This Row],[Exit_Date]]&lt;&gt;""),YEAR(HR_Employees[[#This Row],[Exit_Date]]),"")</f>
        <v>2023</v>
      </c>
    </row>
    <row r="78" spans="1:19">
      <c r="A78" t="s">
        <v>210</v>
      </c>
      <c r="B78" t="s">
        <v>78</v>
      </c>
      <c r="C78">
        <v>22</v>
      </c>
      <c r="D78" t="s">
        <v>39</v>
      </c>
      <c r="E78" t="s">
        <v>21</v>
      </c>
      <c r="F78" t="s">
        <v>47</v>
      </c>
      <c r="G78" t="s">
        <v>41</v>
      </c>
      <c r="H78" s="2">
        <v>44908</v>
      </c>
      <c r="I78" s="2" t="str">
        <f>IFERROR(VLOOKUP(HR_Employees[[#This Row],[Employee_ID]],'[1]Synthetic Exit Data'!$A$2:$E$235,4,0)," NA")</f>
        <v xml:space="preserve"> NA</v>
      </c>
      <c r="J78" t="s">
        <v>24</v>
      </c>
      <c r="K78">
        <v>4</v>
      </c>
      <c r="L78" s="3">
        <v>22606</v>
      </c>
      <c r="M78" t="s">
        <v>82</v>
      </c>
      <c r="N78" t="s">
        <v>50</v>
      </c>
      <c r="O78">
        <v>3.83</v>
      </c>
      <c r="P78" t="s">
        <v>35</v>
      </c>
      <c r="Q78" t="s">
        <v>92</v>
      </c>
      <c r="R78">
        <v>2022</v>
      </c>
      <c r="S78" t="str">
        <f>IF(AND(HR_Employees[[#This Row],[Attrition]]="YES",HR_Employees[[#This Row],[Exit_Date]]&lt;&gt;""),YEAR(HR_Employees[[#This Row],[Exit_Date]]),"")</f>
        <v/>
      </c>
    </row>
    <row r="79" spans="1:19">
      <c r="A79" t="s">
        <v>211</v>
      </c>
      <c r="B79" t="s">
        <v>212</v>
      </c>
      <c r="C79">
        <v>35</v>
      </c>
      <c r="D79" t="s">
        <v>31</v>
      </c>
      <c r="E79" t="s">
        <v>32</v>
      </c>
      <c r="F79" t="s">
        <v>151</v>
      </c>
      <c r="G79" t="s">
        <v>48</v>
      </c>
      <c r="H79" s="2">
        <v>44287</v>
      </c>
      <c r="I79" s="2" t="str">
        <f>IFERROR(VLOOKUP(HR_Employees[[#This Row],[Employee_ID]],'[1]Synthetic Exit Data'!$A$2:$E$235,4,0)," NA")</f>
        <v>2021-12-08</v>
      </c>
      <c r="J79" t="s">
        <v>49</v>
      </c>
      <c r="K79">
        <v>4</v>
      </c>
      <c r="L79" s="3">
        <v>39598</v>
      </c>
      <c r="M79" t="s">
        <v>42</v>
      </c>
      <c r="N79" t="s">
        <v>79</v>
      </c>
      <c r="O79">
        <v>5.42</v>
      </c>
      <c r="P79" t="s">
        <v>27</v>
      </c>
      <c r="Q79" t="s">
        <v>36</v>
      </c>
      <c r="R79">
        <v>2021</v>
      </c>
      <c r="S79">
        <f>IF(AND(HR_Employees[[#This Row],[Attrition]]="YES",HR_Employees[[#This Row],[Exit_Date]]&lt;&gt;""),YEAR(HR_Employees[[#This Row],[Exit_Date]]),"")</f>
        <v>2021</v>
      </c>
    </row>
    <row r="80" spans="1:19">
      <c r="A80" t="s">
        <v>213</v>
      </c>
      <c r="B80" t="s">
        <v>214</v>
      </c>
      <c r="C80">
        <v>42</v>
      </c>
      <c r="D80" t="s">
        <v>61</v>
      </c>
      <c r="E80" t="s">
        <v>21</v>
      </c>
      <c r="F80" t="s">
        <v>40</v>
      </c>
      <c r="G80" t="s">
        <v>23</v>
      </c>
      <c r="H80" s="2">
        <v>45273</v>
      </c>
      <c r="I80" s="2" t="str">
        <f>IFERROR(VLOOKUP(HR_Employees[[#This Row],[Employee_ID]],'[1]Synthetic Exit Data'!$A$2:$E$235,4,0)," NA")</f>
        <v xml:space="preserve"> NA</v>
      </c>
      <c r="J80" t="s">
        <v>24</v>
      </c>
      <c r="K80">
        <v>3</v>
      </c>
      <c r="L80" s="3">
        <v>18040</v>
      </c>
      <c r="M80" t="s">
        <v>82</v>
      </c>
      <c r="N80" t="s">
        <v>56</v>
      </c>
      <c r="O80">
        <v>2.83</v>
      </c>
      <c r="P80" t="s">
        <v>51</v>
      </c>
      <c r="Q80" t="s">
        <v>76</v>
      </c>
      <c r="R80">
        <v>2023</v>
      </c>
      <c r="S80" t="str">
        <f>IF(AND(HR_Employees[[#This Row],[Attrition]]="YES",HR_Employees[[#This Row],[Exit_Date]]&lt;&gt;""),YEAR(HR_Employees[[#This Row],[Exit_Date]]),"")</f>
        <v/>
      </c>
    </row>
    <row r="81" spans="1:19">
      <c r="A81" t="s">
        <v>215</v>
      </c>
      <c r="B81" t="s">
        <v>216</v>
      </c>
      <c r="C81">
        <v>55</v>
      </c>
      <c r="D81" t="s">
        <v>20</v>
      </c>
      <c r="E81" t="s">
        <v>32</v>
      </c>
      <c r="F81" t="s">
        <v>109</v>
      </c>
      <c r="G81" t="s">
        <v>33</v>
      </c>
      <c r="H81" s="2">
        <v>45059</v>
      </c>
      <c r="I81" s="2" t="str">
        <f>IFERROR(VLOOKUP(HR_Employees[[#This Row],[Employee_ID]],'[1]Synthetic Exit Data'!$A$2:$E$235,4,0)," NA")</f>
        <v xml:space="preserve"> NA</v>
      </c>
      <c r="J81" t="s">
        <v>24</v>
      </c>
      <c r="K81">
        <v>3</v>
      </c>
      <c r="L81" s="3">
        <v>75174</v>
      </c>
      <c r="M81" t="s">
        <v>66</v>
      </c>
      <c r="N81" t="s">
        <v>50</v>
      </c>
      <c r="O81">
        <v>3.42</v>
      </c>
      <c r="P81" t="s">
        <v>27</v>
      </c>
      <c r="Q81" t="s">
        <v>28</v>
      </c>
      <c r="R81">
        <v>2023</v>
      </c>
      <c r="S81" t="str">
        <f>IF(AND(HR_Employees[[#This Row],[Attrition]]="YES",HR_Employees[[#This Row],[Exit_Date]]&lt;&gt;""),YEAR(HR_Employees[[#This Row],[Exit_Date]]),"")</f>
        <v/>
      </c>
    </row>
    <row r="82" spans="1:19">
      <c r="A82" t="s">
        <v>217</v>
      </c>
      <c r="B82" t="s">
        <v>218</v>
      </c>
      <c r="C82">
        <v>24</v>
      </c>
      <c r="D82" t="s">
        <v>39</v>
      </c>
      <c r="E82" t="s">
        <v>21</v>
      </c>
      <c r="F82" t="s">
        <v>55</v>
      </c>
      <c r="G82" t="s">
        <v>33</v>
      </c>
      <c r="H82" s="2">
        <v>45609</v>
      </c>
      <c r="I82" s="2" t="str">
        <f>IFERROR(VLOOKUP(HR_Employees[[#This Row],[Employee_ID]],'[1]Synthetic Exit Data'!$A$2:$E$235,4,0)," NA")</f>
        <v xml:space="preserve"> NA</v>
      </c>
      <c r="J82" t="s">
        <v>24</v>
      </c>
      <c r="K82">
        <v>4</v>
      </c>
      <c r="L82" s="3">
        <v>73894</v>
      </c>
      <c r="M82" t="s">
        <v>34</v>
      </c>
      <c r="N82" t="s">
        <v>56</v>
      </c>
      <c r="O82">
        <v>1.92</v>
      </c>
      <c r="P82" t="s">
        <v>57</v>
      </c>
      <c r="Q82" t="s">
        <v>86</v>
      </c>
      <c r="R82">
        <v>2024</v>
      </c>
      <c r="S82" t="str">
        <f>IF(AND(HR_Employees[[#This Row],[Attrition]]="YES",HR_Employees[[#This Row],[Exit_Date]]&lt;&gt;""),YEAR(HR_Employees[[#This Row],[Exit_Date]]),"")</f>
        <v/>
      </c>
    </row>
    <row r="83" spans="1:19">
      <c r="A83" t="s">
        <v>219</v>
      </c>
      <c r="B83" t="s">
        <v>220</v>
      </c>
      <c r="C83">
        <v>45</v>
      </c>
      <c r="D83" t="s">
        <v>61</v>
      </c>
      <c r="E83" t="s">
        <v>32</v>
      </c>
      <c r="F83" t="s">
        <v>73</v>
      </c>
      <c r="G83" t="s">
        <v>33</v>
      </c>
      <c r="H83" s="2">
        <v>45231</v>
      </c>
      <c r="I83" s="2" t="str">
        <f>IFERROR(VLOOKUP(HR_Employees[[#This Row],[Employee_ID]],'[1]Synthetic Exit Data'!$A$2:$E$235,4,0)," NA")</f>
        <v>2024-06-01</v>
      </c>
      <c r="J83" t="s">
        <v>49</v>
      </c>
      <c r="K83">
        <v>1</v>
      </c>
      <c r="L83" s="3">
        <v>58186</v>
      </c>
      <c r="M83" t="s">
        <v>34</v>
      </c>
      <c r="N83" t="s">
        <v>56</v>
      </c>
      <c r="O83">
        <v>2.92</v>
      </c>
      <c r="P83" t="s">
        <v>35</v>
      </c>
      <c r="Q83" t="s">
        <v>28</v>
      </c>
      <c r="R83">
        <v>2023</v>
      </c>
      <c r="S83">
        <f>IF(AND(HR_Employees[[#This Row],[Attrition]]="YES",HR_Employees[[#This Row],[Exit_Date]]&lt;&gt;""),YEAR(HR_Employees[[#This Row],[Exit_Date]]),"")</f>
        <v>2024</v>
      </c>
    </row>
    <row r="84" spans="1:19">
      <c r="A84" t="s">
        <v>221</v>
      </c>
      <c r="B84" t="s">
        <v>222</v>
      </c>
      <c r="C84">
        <v>60</v>
      </c>
      <c r="D84" t="s">
        <v>54</v>
      </c>
      <c r="E84" t="s">
        <v>21</v>
      </c>
      <c r="F84" t="s">
        <v>40</v>
      </c>
      <c r="G84" t="s">
        <v>33</v>
      </c>
      <c r="H84" s="2">
        <v>42003</v>
      </c>
      <c r="I84" s="2" t="str">
        <f>IFERROR(VLOOKUP(HR_Employees[[#This Row],[Employee_ID]],'[1]Synthetic Exit Data'!$A$2:$E$235,4,0)," NA")</f>
        <v>2017-12-25</v>
      </c>
      <c r="J84" t="s">
        <v>49</v>
      </c>
      <c r="K84">
        <v>3</v>
      </c>
      <c r="L84" s="3">
        <v>27070</v>
      </c>
      <c r="M84" t="s">
        <v>82</v>
      </c>
      <c r="N84" t="s">
        <v>26</v>
      </c>
      <c r="O84">
        <v>11.58</v>
      </c>
      <c r="P84" t="s">
        <v>51</v>
      </c>
      <c r="Q84" t="s">
        <v>62</v>
      </c>
      <c r="R84">
        <v>2014</v>
      </c>
      <c r="S84">
        <f>IF(AND(HR_Employees[[#This Row],[Attrition]]="YES",HR_Employees[[#This Row],[Exit_Date]]&lt;&gt;""),YEAR(HR_Employees[[#This Row],[Exit_Date]]),"")</f>
        <v>2017</v>
      </c>
    </row>
    <row r="85" spans="1:19">
      <c r="A85" t="s">
        <v>223</v>
      </c>
      <c r="B85" t="s">
        <v>224</v>
      </c>
      <c r="C85">
        <v>62</v>
      </c>
      <c r="D85" t="s">
        <v>54</v>
      </c>
      <c r="E85" t="s">
        <v>32</v>
      </c>
      <c r="F85" t="s">
        <v>22</v>
      </c>
      <c r="G85" t="s">
        <v>23</v>
      </c>
      <c r="H85" s="2">
        <v>43264</v>
      </c>
      <c r="I85" s="2" t="str">
        <f>IFERROR(VLOOKUP(HR_Employees[[#This Row],[Employee_ID]],'[1]Synthetic Exit Data'!$A$2:$E$235,4,0)," NA")</f>
        <v xml:space="preserve"> NA</v>
      </c>
      <c r="J85" t="s">
        <v>24</v>
      </c>
      <c r="K85">
        <v>3</v>
      </c>
      <c r="L85" s="3">
        <v>24715</v>
      </c>
      <c r="M85" t="s">
        <v>82</v>
      </c>
      <c r="N85" t="s">
        <v>79</v>
      </c>
      <c r="O85">
        <v>8.33</v>
      </c>
      <c r="P85" t="s">
        <v>35</v>
      </c>
      <c r="Q85" t="s">
        <v>92</v>
      </c>
      <c r="R85">
        <v>2018</v>
      </c>
      <c r="S85" t="str">
        <f>IF(AND(HR_Employees[[#This Row],[Attrition]]="YES",HR_Employees[[#This Row],[Exit_Date]]&lt;&gt;""),YEAR(HR_Employees[[#This Row],[Exit_Date]]),"")</f>
        <v/>
      </c>
    </row>
    <row r="86" spans="1:19">
      <c r="A86" t="s">
        <v>225</v>
      </c>
      <c r="B86" t="s">
        <v>226</v>
      </c>
      <c r="C86">
        <v>30</v>
      </c>
      <c r="D86" t="s">
        <v>31</v>
      </c>
      <c r="E86" t="s">
        <v>32</v>
      </c>
      <c r="F86" t="s">
        <v>47</v>
      </c>
      <c r="G86" t="s">
        <v>41</v>
      </c>
      <c r="H86" s="2">
        <v>45609</v>
      </c>
      <c r="I86" s="2" t="str">
        <f>IFERROR(VLOOKUP(HR_Employees[[#This Row],[Employee_ID]],'[1]Synthetic Exit Data'!$A$2:$E$235,4,0)," NA")</f>
        <v xml:space="preserve"> NA</v>
      </c>
      <c r="J86" t="s">
        <v>24</v>
      </c>
      <c r="K86">
        <v>4</v>
      </c>
      <c r="L86" s="3">
        <v>27142</v>
      </c>
      <c r="M86" t="s">
        <v>82</v>
      </c>
      <c r="N86" t="s">
        <v>56</v>
      </c>
      <c r="O86">
        <v>1.92</v>
      </c>
      <c r="P86" t="s">
        <v>35</v>
      </c>
      <c r="Q86" t="s">
        <v>92</v>
      </c>
      <c r="R86">
        <v>2024</v>
      </c>
      <c r="S86" t="str">
        <f>IF(AND(HR_Employees[[#This Row],[Attrition]]="YES",HR_Employees[[#This Row],[Exit_Date]]&lt;&gt;""),YEAR(HR_Employees[[#This Row],[Exit_Date]]),"")</f>
        <v/>
      </c>
    </row>
    <row r="87" spans="1:19">
      <c r="A87" t="s">
        <v>227</v>
      </c>
      <c r="B87" t="s">
        <v>106</v>
      </c>
      <c r="C87">
        <v>29</v>
      </c>
      <c r="D87" t="s">
        <v>31</v>
      </c>
      <c r="E87" t="s">
        <v>21</v>
      </c>
      <c r="F87" t="s">
        <v>55</v>
      </c>
      <c r="G87" t="s">
        <v>23</v>
      </c>
      <c r="H87" s="2">
        <v>43356</v>
      </c>
      <c r="I87" s="2" t="str">
        <f>IFERROR(VLOOKUP(HR_Employees[[#This Row],[Employee_ID]],'[1]Synthetic Exit Data'!$A$2:$E$235,4,0)," NA")</f>
        <v xml:space="preserve"> NA</v>
      </c>
      <c r="J87" t="s">
        <v>24</v>
      </c>
      <c r="K87">
        <v>3</v>
      </c>
      <c r="L87" s="3">
        <v>39628</v>
      </c>
      <c r="M87" t="s">
        <v>42</v>
      </c>
      <c r="N87" t="s">
        <v>79</v>
      </c>
      <c r="O87">
        <v>8.08</v>
      </c>
      <c r="P87" t="s">
        <v>27</v>
      </c>
      <c r="Q87" t="s">
        <v>58</v>
      </c>
      <c r="R87">
        <v>2018</v>
      </c>
      <c r="S87" t="str">
        <f>IF(AND(HR_Employees[[#This Row],[Attrition]]="YES",HR_Employees[[#This Row],[Exit_Date]]&lt;&gt;""),YEAR(HR_Employees[[#This Row],[Exit_Date]]),"")</f>
        <v/>
      </c>
    </row>
    <row r="88" spans="1:19">
      <c r="A88" t="s">
        <v>228</v>
      </c>
      <c r="B88" t="s">
        <v>229</v>
      </c>
      <c r="C88">
        <v>38</v>
      </c>
      <c r="D88" t="s">
        <v>61</v>
      </c>
      <c r="E88" t="s">
        <v>21</v>
      </c>
      <c r="F88" t="s">
        <v>40</v>
      </c>
      <c r="G88" t="s">
        <v>23</v>
      </c>
      <c r="H88" s="2">
        <v>44725</v>
      </c>
      <c r="I88" s="2" t="str">
        <f>IFERROR(VLOOKUP(HR_Employees[[#This Row],[Employee_ID]],'[1]Synthetic Exit Data'!$A$2:$E$235,4,0)," NA")</f>
        <v xml:space="preserve"> NA</v>
      </c>
      <c r="J88" t="s">
        <v>24</v>
      </c>
      <c r="K88">
        <v>1</v>
      </c>
      <c r="L88" s="3">
        <v>35848</v>
      </c>
      <c r="M88" t="s">
        <v>42</v>
      </c>
      <c r="N88" t="s">
        <v>50</v>
      </c>
      <c r="O88">
        <v>4.33</v>
      </c>
      <c r="P88" t="s">
        <v>35</v>
      </c>
      <c r="Q88" t="s">
        <v>28</v>
      </c>
      <c r="R88">
        <v>2022</v>
      </c>
      <c r="S88" t="str">
        <f>IF(AND(HR_Employees[[#This Row],[Attrition]]="YES",HR_Employees[[#This Row],[Exit_Date]]&lt;&gt;""),YEAR(HR_Employees[[#This Row],[Exit_Date]]),"")</f>
        <v/>
      </c>
    </row>
    <row r="89" spans="1:19">
      <c r="A89" t="s">
        <v>230</v>
      </c>
      <c r="B89" t="s">
        <v>231</v>
      </c>
      <c r="C89">
        <v>36</v>
      </c>
      <c r="D89" t="s">
        <v>61</v>
      </c>
      <c r="E89" t="s">
        <v>21</v>
      </c>
      <c r="F89" t="s">
        <v>22</v>
      </c>
      <c r="G89" t="s">
        <v>114</v>
      </c>
      <c r="H89" s="2">
        <v>45548</v>
      </c>
      <c r="I89" s="2" t="str">
        <f>IFERROR(VLOOKUP(HR_Employees[[#This Row],[Employee_ID]],'[1]Synthetic Exit Data'!$A$2:$E$235,4,0)," NA")</f>
        <v xml:space="preserve"> NA</v>
      </c>
      <c r="J89" t="s">
        <v>24</v>
      </c>
      <c r="K89">
        <v>3</v>
      </c>
      <c r="L89" s="3">
        <v>66432</v>
      </c>
      <c r="M89" t="s">
        <v>34</v>
      </c>
      <c r="N89" t="s">
        <v>56</v>
      </c>
      <c r="O89">
        <v>2.08</v>
      </c>
      <c r="P89" t="s">
        <v>27</v>
      </c>
      <c r="Q89" t="s">
        <v>28</v>
      </c>
      <c r="R89">
        <v>2024</v>
      </c>
      <c r="S89" t="str">
        <f>IF(AND(HR_Employees[[#This Row],[Attrition]]="YES",HR_Employees[[#This Row],[Exit_Date]]&lt;&gt;""),YEAR(HR_Employees[[#This Row],[Exit_Date]]),"")</f>
        <v/>
      </c>
    </row>
    <row r="90" spans="1:19">
      <c r="A90" t="s">
        <v>232</v>
      </c>
      <c r="B90" t="s">
        <v>94</v>
      </c>
      <c r="C90">
        <v>36</v>
      </c>
      <c r="D90" t="s">
        <v>61</v>
      </c>
      <c r="E90" t="s">
        <v>32</v>
      </c>
      <c r="F90" t="s">
        <v>47</v>
      </c>
      <c r="G90" t="s">
        <v>23</v>
      </c>
      <c r="H90" s="2">
        <v>44970</v>
      </c>
      <c r="I90" s="2" t="str">
        <f>IFERROR(VLOOKUP(HR_Employees[[#This Row],[Employee_ID]],'[1]Synthetic Exit Data'!$A$2:$E$235,4,0)," NA")</f>
        <v xml:space="preserve"> NA</v>
      </c>
      <c r="J90" t="s">
        <v>24</v>
      </c>
      <c r="K90">
        <v>2</v>
      </c>
      <c r="L90" s="3">
        <v>49036</v>
      </c>
      <c r="M90" t="s">
        <v>42</v>
      </c>
      <c r="N90" t="s">
        <v>50</v>
      </c>
      <c r="O90">
        <v>3.67</v>
      </c>
      <c r="P90" t="s">
        <v>57</v>
      </c>
      <c r="Q90" t="s">
        <v>92</v>
      </c>
      <c r="R90">
        <v>2023</v>
      </c>
      <c r="S90" t="str">
        <f>IF(AND(HR_Employees[[#This Row],[Attrition]]="YES",HR_Employees[[#This Row],[Exit_Date]]&lt;&gt;""),YEAR(HR_Employees[[#This Row],[Exit_Date]]),"")</f>
        <v/>
      </c>
    </row>
    <row r="91" spans="1:19">
      <c r="A91" t="s">
        <v>233</v>
      </c>
      <c r="B91" t="s">
        <v>234</v>
      </c>
      <c r="C91">
        <v>40</v>
      </c>
      <c r="D91" t="s">
        <v>61</v>
      </c>
      <c r="E91" t="s">
        <v>21</v>
      </c>
      <c r="F91" t="s">
        <v>47</v>
      </c>
      <c r="G91" t="s">
        <v>41</v>
      </c>
      <c r="H91" s="2">
        <v>41711</v>
      </c>
      <c r="I91" s="2" t="str">
        <f>IFERROR(VLOOKUP(HR_Employees[[#This Row],[Employee_ID]],'[1]Synthetic Exit Data'!$A$2:$E$235,4,0)," NA")</f>
        <v xml:space="preserve"> NA</v>
      </c>
      <c r="J91" t="s">
        <v>24</v>
      </c>
      <c r="K91">
        <v>3</v>
      </c>
      <c r="L91" s="3">
        <v>40132</v>
      </c>
      <c r="M91" t="s">
        <v>42</v>
      </c>
      <c r="N91" t="s">
        <v>26</v>
      </c>
      <c r="O91">
        <v>12.58</v>
      </c>
      <c r="P91" t="s">
        <v>125</v>
      </c>
      <c r="Q91" t="s">
        <v>86</v>
      </c>
      <c r="R91">
        <v>2014</v>
      </c>
      <c r="S91" t="str">
        <f>IF(AND(HR_Employees[[#This Row],[Attrition]]="YES",HR_Employees[[#This Row],[Exit_Date]]&lt;&gt;""),YEAR(HR_Employees[[#This Row],[Exit_Date]]),"")</f>
        <v/>
      </c>
    </row>
    <row r="92" spans="1:19">
      <c r="A92" t="s">
        <v>235</v>
      </c>
      <c r="B92" t="s">
        <v>236</v>
      </c>
      <c r="C92">
        <v>33</v>
      </c>
      <c r="D92" t="s">
        <v>31</v>
      </c>
      <c r="E92" t="s">
        <v>32</v>
      </c>
      <c r="F92" t="s">
        <v>22</v>
      </c>
      <c r="G92" t="s">
        <v>23</v>
      </c>
      <c r="H92" s="2">
        <v>46155</v>
      </c>
      <c r="I92" s="2" t="str">
        <f>IFERROR(VLOOKUP(HR_Employees[[#This Row],[Employee_ID]],'[1]Synthetic Exit Data'!$A$2:$E$235,4,0)," NA")</f>
        <v xml:space="preserve"> NA</v>
      </c>
      <c r="J92" t="s">
        <v>24</v>
      </c>
      <c r="K92">
        <v>2</v>
      </c>
      <c r="L92" s="3">
        <v>31050</v>
      </c>
      <c r="M92" t="s">
        <v>42</v>
      </c>
      <c r="N92" t="s">
        <v>43</v>
      </c>
      <c r="O92">
        <v>0.42</v>
      </c>
      <c r="P92" t="s">
        <v>51</v>
      </c>
      <c r="Q92" t="s">
        <v>62</v>
      </c>
      <c r="R92">
        <v>2026</v>
      </c>
      <c r="S92" t="str">
        <f>IF(AND(HR_Employees[[#This Row],[Attrition]]="YES",HR_Employees[[#This Row],[Exit_Date]]&lt;&gt;""),YEAR(HR_Employees[[#This Row],[Exit_Date]]),"")</f>
        <v/>
      </c>
    </row>
    <row r="93" spans="1:19">
      <c r="A93" t="s">
        <v>237</v>
      </c>
      <c r="B93" t="s">
        <v>238</v>
      </c>
      <c r="C93">
        <v>34</v>
      </c>
      <c r="D93" t="s">
        <v>31</v>
      </c>
      <c r="E93" t="s">
        <v>21</v>
      </c>
      <c r="F93" t="s">
        <v>109</v>
      </c>
      <c r="G93" t="s">
        <v>114</v>
      </c>
      <c r="H93" s="2">
        <v>46216</v>
      </c>
      <c r="I93" s="2" t="str">
        <f>IFERROR(VLOOKUP(HR_Employees[[#This Row],[Employee_ID]],'[1]Synthetic Exit Data'!$A$2:$E$235,4,0)," NA")</f>
        <v xml:space="preserve"> NA</v>
      </c>
      <c r="J93" t="s">
        <v>24</v>
      </c>
      <c r="K93">
        <v>2</v>
      </c>
      <c r="L93" s="3">
        <v>120555</v>
      </c>
      <c r="M93" t="s">
        <v>25</v>
      </c>
      <c r="N93" t="s">
        <v>43</v>
      </c>
      <c r="O93">
        <v>0.25</v>
      </c>
      <c r="P93" t="s">
        <v>51</v>
      </c>
      <c r="Q93" t="s">
        <v>28</v>
      </c>
      <c r="R93">
        <v>2026</v>
      </c>
      <c r="S93" t="str">
        <f>IF(AND(HR_Employees[[#This Row],[Attrition]]="YES",HR_Employees[[#This Row],[Exit_Date]]&lt;&gt;""),YEAR(HR_Employees[[#This Row],[Exit_Date]]),"")</f>
        <v/>
      </c>
    </row>
    <row r="94" spans="1:19">
      <c r="A94" t="s">
        <v>239</v>
      </c>
      <c r="B94" t="s">
        <v>240</v>
      </c>
      <c r="C94">
        <v>28</v>
      </c>
      <c r="D94" t="s">
        <v>31</v>
      </c>
      <c r="E94" t="s">
        <v>21</v>
      </c>
      <c r="F94" t="s">
        <v>47</v>
      </c>
      <c r="G94" t="s">
        <v>33</v>
      </c>
      <c r="H94" s="2">
        <v>46125</v>
      </c>
      <c r="I94" s="2" t="str">
        <f>IFERROR(VLOOKUP(HR_Employees[[#This Row],[Employee_ID]],'[1]Synthetic Exit Data'!$A$2:$E$235,4,0)," NA")</f>
        <v xml:space="preserve"> NA</v>
      </c>
      <c r="J94" t="s">
        <v>24</v>
      </c>
      <c r="K94">
        <v>4</v>
      </c>
      <c r="L94" s="3">
        <v>136842</v>
      </c>
      <c r="M94" t="s">
        <v>25</v>
      </c>
      <c r="N94" t="s">
        <v>43</v>
      </c>
      <c r="O94">
        <v>0.5</v>
      </c>
      <c r="P94" t="s">
        <v>83</v>
      </c>
      <c r="Q94" t="s">
        <v>86</v>
      </c>
      <c r="R94">
        <v>2026</v>
      </c>
      <c r="S94" t="str">
        <f>IF(AND(HR_Employees[[#This Row],[Attrition]]="YES",HR_Employees[[#This Row],[Exit_Date]]&lt;&gt;""),YEAR(HR_Employees[[#This Row],[Exit_Date]]),"")</f>
        <v/>
      </c>
    </row>
    <row r="95" spans="1:19">
      <c r="A95" t="s">
        <v>241</v>
      </c>
      <c r="B95" t="s">
        <v>242</v>
      </c>
      <c r="C95">
        <v>29</v>
      </c>
      <c r="D95" t="s">
        <v>31</v>
      </c>
      <c r="E95" t="s">
        <v>32</v>
      </c>
      <c r="F95" t="s">
        <v>151</v>
      </c>
      <c r="G95" t="s">
        <v>41</v>
      </c>
      <c r="H95" s="2">
        <v>46125</v>
      </c>
      <c r="I95" s="2" t="str">
        <f>IFERROR(VLOOKUP(HR_Employees[[#This Row],[Employee_ID]],'[1]Synthetic Exit Data'!$A$2:$E$235,4,0)," NA")</f>
        <v xml:space="preserve"> NA</v>
      </c>
      <c r="J95" t="s">
        <v>24</v>
      </c>
      <c r="K95">
        <v>3</v>
      </c>
      <c r="L95" s="3">
        <v>31086</v>
      </c>
      <c r="M95" t="s">
        <v>42</v>
      </c>
      <c r="N95" t="s">
        <v>43</v>
      </c>
      <c r="O95">
        <v>0.5</v>
      </c>
      <c r="P95" t="s">
        <v>57</v>
      </c>
      <c r="Q95" t="s">
        <v>28</v>
      </c>
      <c r="R95">
        <v>2026</v>
      </c>
      <c r="S95" t="str">
        <f>IF(AND(HR_Employees[[#This Row],[Attrition]]="YES",HR_Employees[[#This Row],[Exit_Date]]&lt;&gt;""),YEAR(HR_Employees[[#This Row],[Exit_Date]]),"")</f>
        <v/>
      </c>
    </row>
    <row r="96" spans="1:19">
      <c r="A96" t="s">
        <v>243</v>
      </c>
      <c r="B96" t="s">
        <v>207</v>
      </c>
      <c r="C96">
        <v>35</v>
      </c>
      <c r="D96" t="s">
        <v>31</v>
      </c>
      <c r="E96" t="s">
        <v>21</v>
      </c>
      <c r="F96" t="s">
        <v>47</v>
      </c>
      <c r="G96" t="s">
        <v>23</v>
      </c>
      <c r="H96" s="2">
        <v>46094</v>
      </c>
      <c r="I96" s="2" t="str">
        <f>IFERROR(VLOOKUP(HR_Employees[[#This Row],[Employee_ID]],'[1]Synthetic Exit Data'!$A$2:$E$235,4,0)," NA")</f>
        <v xml:space="preserve"> NA</v>
      </c>
      <c r="J96" t="s">
        <v>24</v>
      </c>
      <c r="K96">
        <v>4</v>
      </c>
      <c r="L96" s="3">
        <v>95124</v>
      </c>
      <c r="M96" t="s">
        <v>66</v>
      </c>
      <c r="N96" t="s">
        <v>43</v>
      </c>
      <c r="O96">
        <v>0.57999999999999996</v>
      </c>
      <c r="P96" t="s">
        <v>35</v>
      </c>
      <c r="Q96" t="s">
        <v>58</v>
      </c>
      <c r="R96">
        <v>2026</v>
      </c>
      <c r="S96" t="str">
        <f>IF(AND(HR_Employees[[#This Row],[Attrition]]="YES",HR_Employees[[#This Row],[Exit_Date]]&lt;&gt;""),YEAR(HR_Employees[[#This Row],[Exit_Date]]),"")</f>
        <v/>
      </c>
    </row>
    <row r="97" spans="1:19">
      <c r="A97" t="s">
        <v>244</v>
      </c>
      <c r="B97" t="s">
        <v>187</v>
      </c>
      <c r="C97">
        <v>24</v>
      </c>
      <c r="D97" t="s">
        <v>39</v>
      </c>
      <c r="E97" t="s">
        <v>21</v>
      </c>
      <c r="F97" t="s">
        <v>65</v>
      </c>
      <c r="G97" t="s">
        <v>33</v>
      </c>
      <c r="H97" s="2">
        <v>46035</v>
      </c>
      <c r="I97" s="2" t="str">
        <f>IFERROR(VLOOKUP(HR_Employees[[#This Row],[Employee_ID]],'[1]Synthetic Exit Data'!$A$2:$E$235,4,0)," NA")</f>
        <v xml:space="preserve"> NA</v>
      </c>
      <c r="J97" t="s">
        <v>24</v>
      </c>
      <c r="K97">
        <v>2</v>
      </c>
      <c r="L97" s="3">
        <v>103901</v>
      </c>
      <c r="M97" t="s">
        <v>25</v>
      </c>
      <c r="N97" t="s">
        <v>43</v>
      </c>
      <c r="O97">
        <v>0.75</v>
      </c>
      <c r="P97" t="s">
        <v>125</v>
      </c>
      <c r="Q97" t="s">
        <v>28</v>
      </c>
      <c r="R97">
        <v>2026</v>
      </c>
      <c r="S97" t="str">
        <f>IF(AND(HR_Employees[[#This Row],[Attrition]]="YES",HR_Employees[[#This Row],[Exit_Date]]&lt;&gt;""),YEAR(HR_Employees[[#This Row],[Exit_Date]]),"")</f>
        <v/>
      </c>
    </row>
    <row r="98" spans="1:19">
      <c r="A98" t="s">
        <v>245</v>
      </c>
      <c r="B98" t="s">
        <v>187</v>
      </c>
      <c r="C98">
        <v>57</v>
      </c>
      <c r="D98" t="s">
        <v>54</v>
      </c>
      <c r="E98" t="s">
        <v>21</v>
      </c>
      <c r="F98" t="s">
        <v>47</v>
      </c>
      <c r="G98" t="s">
        <v>41</v>
      </c>
      <c r="H98" s="2">
        <v>40638</v>
      </c>
      <c r="I98" s="2" t="str">
        <f>IFERROR(VLOOKUP(HR_Employees[[#This Row],[Employee_ID]],'[1]Synthetic Exit Data'!$A$2:$E$235,4,0)," NA")</f>
        <v>2016-03-25</v>
      </c>
      <c r="J98" t="s">
        <v>49</v>
      </c>
      <c r="K98">
        <v>4</v>
      </c>
      <c r="L98" s="3">
        <v>45378</v>
      </c>
      <c r="M98" t="s">
        <v>42</v>
      </c>
      <c r="N98" t="s">
        <v>26</v>
      </c>
      <c r="O98">
        <v>15.5</v>
      </c>
      <c r="P98" t="s">
        <v>27</v>
      </c>
      <c r="Q98" t="s">
        <v>92</v>
      </c>
      <c r="R98">
        <v>2011</v>
      </c>
      <c r="S98">
        <f>IF(AND(HR_Employees[[#This Row],[Attrition]]="YES",HR_Employees[[#This Row],[Exit_Date]]&lt;&gt;""),YEAR(HR_Employees[[#This Row],[Exit_Date]]),"")</f>
        <v>2016</v>
      </c>
    </row>
    <row r="99" spans="1:19">
      <c r="A99" t="s">
        <v>246</v>
      </c>
      <c r="B99" t="s">
        <v>247</v>
      </c>
      <c r="C99">
        <v>32</v>
      </c>
      <c r="D99" t="s">
        <v>31</v>
      </c>
      <c r="E99" t="s">
        <v>21</v>
      </c>
      <c r="F99" t="s">
        <v>22</v>
      </c>
      <c r="G99" t="s">
        <v>23</v>
      </c>
      <c r="H99" s="2">
        <v>44878</v>
      </c>
      <c r="I99" s="2" t="str">
        <f>IFERROR(VLOOKUP(HR_Employees[[#This Row],[Employee_ID]],'[1]Synthetic Exit Data'!$A$2:$E$235,4,0)," NA")</f>
        <v xml:space="preserve"> NA</v>
      </c>
      <c r="J99" t="s">
        <v>24</v>
      </c>
      <c r="K99">
        <v>5</v>
      </c>
      <c r="L99" s="3">
        <v>56439</v>
      </c>
      <c r="M99" t="s">
        <v>34</v>
      </c>
      <c r="N99" t="s">
        <v>50</v>
      </c>
      <c r="O99">
        <v>3.92</v>
      </c>
      <c r="P99" t="s">
        <v>35</v>
      </c>
      <c r="Q99" t="s">
        <v>92</v>
      </c>
      <c r="R99">
        <v>2022</v>
      </c>
      <c r="S99" t="str">
        <f>IF(AND(HR_Employees[[#This Row],[Attrition]]="YES",HR_Employees[[#This Row],[Exit_Date]]&lt;&gt;""),YEAR(HR_Employees[[#This Row],[Exit_Date]]),"")</f>
        <v/>
      </c>
    </row>
    <row r="100" spans="1:19">
      <c r="A100" t="s">
        <v>248</v>
      </c>
      <c r="B100" t="s">
        <v>249</v>
      </c>
      <c r="C100">
        <v>32</v>
      </c>
      <c r="D100" t="s">
        <v>31</v>
      </c>
      <c r="E100" t="s">
        <v>32</v>
      </c>
      <c r="F100" t="s">
        <v>151</v>
      </c>
      <c r="G100" t="s">
        <v>33</v>
      </c>
      <c r="H100" s="2">
        <v>46066</v>
      </c>
      <c r="I100" s="2" t="str">
        <f>IFERROR(VLOOKUP(HR_Employees[[#This Row],[Employee_ID]],'[1]Synthetic Exit Data'!$A$2:$E$235,4,0)," NA")</f>
        <v xml:space="preserve"> NA</v>
      </c>
      <c r="J100" t="s">
        <v>24</v>
      </c>
      <c r="K100">
        <v>3</v>
      </c>
      <c r="L100" s="3">
        <v>36650</v>
      </c>
      <c r="M100" t="s">
        <v>42</v>
      </c>
      <c r="N100" t="s">
        <v>43</v>
      </c>
      <c r="O100">
        <v>0.67</v>
      </c>
      <c r="P100" t="s">
        <v>27</v>
      </c>
      <c r="Q100" t="s">
        <v>92</v>
      </c>
      <c r="R100">
        <v>2026</v>
      </c>
      <c r="S100" t="str">
        <f>IF(AND(HR_Employees[[#This Row],[Attrition]]="YES",HR_Employees[[#This Row],[Exit_Date]]&lt;&gt;""),YEAR(HR_Employees[[#This Row],[Exit_Date]]),"")</f>
        <v/>
      </c>
    </row>
    <row r="101" spans="1:19">
      <c r="A101" t="s">
        <v>250</v>
      </c>
      <c r="B101" t="s">
        <v>251</v>
      </c>
      <c r="C101">
        <v>31</v>
      </c>
      <c r="D101" t="s">
        <v>31</v>
      </c>
      <c r="E101" t="s">
        <v>32</v>
      </c>
      <c r="F101" t="s">
        <v>40</v>
      </c>
      <c r="G101" t="s">
        <v>23</v>
      </c>
      <c r="H101" s="2">
        <v>45913</v>
      </c>
      <c r="I101" s="2" t="str">
        <f>IFERROR(VLOOKUP(HR_Employees[[#This Row],[Employee_ID]],'[1]Synthetic Exit Data'!$A$2:$E$235,4,0)," NA")</f>
        <v xml:space="preserve"> NA</v>
      </c>
      <c r="J101" t="s">
        <v>24</v>
      </c>
      <c r="K101">
        <v>4</v>
      </c>
      <c r="L101" s="3">
        <v>19216</v>
      </c>
      <c r="M101" t="s">
        <v>82</v>
      </c>
      <c r="N101" t="s">
        <v>56</v>
      </c>
      <c r="O101">
        <v>1.08</v>
      </c>
      <c r="P101" t="s">
        <v>51</v>
      </c>
      <c r="Q101" t="s">
        <v>76</v>
      </c>
      <c r="R101">
        <v>2025</v>
      </c>
      <c r="S101" t="str">
        <f>IF(AND(HR_Employees[[#This Row],[Attrition]]="YES",HR_Employees[[#This Row],[Exit_Date]]&lt;&gt;""),YEAR(HR_Employees[[#This Row],[Exit_Date]]),"")</f>
        <v/>
      </c>
    </row>
    <row r="102" spans="1:19">
      <c r="A102" t="s">
        <v>252</v>
      </c>
      <c r="B102" t="s">
        <v>120</v>
      </c>
      <c r="C102">
        <v>38</v>
      </c>
      <c r="D102" t="s">
        <v>61</v>
      </c>
      <c r="E102" t="s">
        <v>21</v>
      </c>
      <c r="F102" t="s">
        <v>73</v>
      </c>
      <c r="G102" t="s">
        <v>41</v>
      </c>
      <c r="H102" s="2">
        <v>41134</v>
      </c>
      <c r="I102" s="2" t="str">
        <f>IFERROR(VLOOKUP(HR_Employees[[#This Row],[Employee_ID]],'[1]Synthetic Exit Data'!$A$2:$E$235,4,0)," NA")</f>
        <v xml:space="preserve"> NA</v>
      </c>
      <c r="J102" t="s">
        <v>24</v>
      </c>
      <c r="K102">
        <v>3</v>
      </c>
      <c r="L102" s="3">
        <v>19405</v>
      </c>
      <c r="M102" t="s">
        <v>82</v>
      </c>
      <c r="N102" t="s">
        <v>26</v>
      </c>
      <c r="O102">
        <v>14.17</v>
      </c>
      <c r="P102" t="s">
        <v>27</v>
      </c>
      <c r="Q102" t="s">
        <v>76</v>
      </c>
      <c r="R102">
        <v>2012</v>
      </c>
      <c r="S102" t="str">
        <f>IF(AND(HR_Employees[[#This Row],[Attrition]]="YES",HR_Employees[[#This Row],[Exit_Date]]&lt;&gt;""),YEAR(HR_Employees[[#This Row],[Exit_Date]]),"")</f>
        <v/>
      </c>
    </row>
    <row r="103" spans="1:19">
      <c r="A103" t="s">
        <v>253</v>
      </c>
      <c r="B103" t="s">
        <v>104</v>
      </c>
      <c r="C103">
        <v>21</v>
      </c>
      <c r="D103" t="s">
        <v>39</v>
      </c>
      <c r="E103" t="s">
        <v>21</v>
      </c>
      <c r="F103" t="s">
        <v>47</v>
      </c>
      <c r="G103" t="s">
        <v>114</v>
      </c>
      <c r="H103" s="2">
        <v>41377</v>
      </c>
      <c r="I103" s="2" t="str">
        <f>IFERROR(VLOOKUP(HR_Employees[[#This Row],[Employee_ID]],'[1]Synthetic Exit Data'!$A$2:$E$235,4,0)," NA")</f>
        <v xml:space="preserve"> NA</v>
      </c>
      <c r="J103" t="s">
        <v>24</v>
      </c>
      <c r="K103">
        <v>1</v>
      </c>
      <c r="L103" s="3">
        <v>27516</v>
      </c>
      <c r="M103" t="s">
        <v>82</v>
      </c>
      <c r="N103" t="s">
        <v>26</v>
      </c>
      <c r="O103">
        <v>13.5</v>
      </c>
      <c r="P103" t="s">
        <v>51</v>
      </c>
      <c r="Q103" t="s">
        <v>28</v>
      </c>
      <c r="R103">
        <v>2013</v>
      </c>
      <c r="S103" t="str">
        <f>IF(AND(HR_Employees[[#This Row],[Attrition]]="YES",HR_Employees[[#This Row],[Exit_Date]]&lt;&gt;""),YEAR(HR_Employees[[#This Row],[Exit_Date]]),"")</f>
        <v/>
      </c>
    </row>
    <row r="104" spans="1:19">
      <c r="A104" t="s">
        <v>254</v>
      </c>
      <c r="B104" t="s">
        <v>255</v>
      </c>
      <c r="C104">
        <v>21</v>
      </c>
      <c r="D104" t="s">
        <v>39</v>
      </c>
      <c r="E104" t="s">
        <v>21</v>
      </c>
      <c r="F104" t="s">
        <v>151</v>
      </c>
      <c r="G104" t="s">
        <v>33</v>
      </c>
      <c r="H104" s="2">
        <v>44329</v>
      </c>
      <c r="I104" s="2" t="str">
        <f>IFERROR(VLOOKUP(HR_Employees[[#This Row],[Employee_ID]],'[1]Synthetic Exit Data'!$A$2:$E$235,4,0)," NA")</f>
        <v xml:space="preserve"> NA</v>
      </c>
      <c r="J104" t="s">
        <v>24</v>
      </c>
      <c r="K104">
        <v>4</v>
      </c>
      <c r="L104" s="3">
        <v>20247</v>
      </c>
      <c r="M104" t="s">
        <v>82</v>
      </c>
      <c r="N104" t="s">
        <v>79</v>
      </c>
      <c r="O104">
        <v>5.42</v>
      </c>
      <c r="P104" t="s">
        <v>27</v>
      </c>
      <c r="Q104" t="s">
        <v>92</v>
      </c>
      <c r="R104">
        <v>2021</v>
      </c>
      <c r="S104" t="str">
        <f>IF(AND(HR_Employees[[#This Row],[Attrition]]="YES",HR_Employees[[#This Row],[Exit_Date]]&lt;&gt;""),YEAR(HR_Employees[[#This Row],[Exit_Date]]),"")</f>
        <v/>
      </c>
    </row>
    <row r="105" spans="1:19">
      <c r="A105" t="s">
        <v>256</v>
      </c>
      <c r="B105" t="s">
        <v>257</v>
      </c>
      <c r="C105">
        <v>33</v>
      </c>
      <c r="D105" t="s">
        <v>31</v>
      </c>
      <c r="E105" t="s">
        <v>32</v>
      </c>
      <c r="F105" t="s">
        <v>47</v>
      </c>
      <c r="G105" t="s">
        <v>23</v>
      </c>
      <c r="H105" s="2">
        <v>42960</v>
      </c>
      <c r="I105" s="2" t="str">
        <f>IFERROR(VLOOKUP(HR_Employees[[#This Row],[Employee_ID]],'[1]Synthetic Exit Data'!$A$2:$E$235,4,0)," NA")</f>
        <v xml:space="preserve"> NA</v>
      </c>
      <c r="J105" t="s">
        <v>24</v>
      </c>
      <c r="K105">
        <v>3</v>
      </c>
      <c r="L105" s="3">
        <v>73182</v>
      </c>
      <c r="M105" t="s">
        <v>34</v>
      </c>
      <c r="N105" t="s">
        <v>79</v>
      </c>
      <c r="O105">
        <v>9.17</v>
      </c>
      <c r="P105" t="s">
        <v>35</v>
      </c>
      <c r="Q105" t="s">
        <v>44</v>
      </c>
      <c r="R105">
        <v>2017</v>
      </c>
      <c r="S105" t="str">
        <f>IF(AND(HR_Employees[[#This Row],[Attrition]]="YES",HR_Employees[[#This Row],[Exit_Date]]&lt;&gt;""),YEAR(HR_Employees[[#This Row],[Exit_Date]]),"")</f>
        <v/>
      </c>
    </row>
    <row r="106" spans="1:19">
      <c r="A106" t="s">
        <v>258</v>
      </c>
      <c r="B106" t="s">
        <v>259</v>
      </c>
      <c r="C106">
        <v>23</v>
      </c>
      <c r="D106" t="s">
        <v>39</v>
      </c>
      <c r="E106" t="s">
        <v>32</v>
      </c>
      <c r="F106" t="s">
        <v>47</v>
      </c>
      <c r="G106" t="s">
        <v>33</v>
      </c>
      <c r="H106" s="2">
        <v>43934</v>
      </c>
      <c r="I106" s="2" t="str">
        <f>IFERROR(VLOOKUP(HR_Employees[[#This Row],[Employee_ID]],'[1]Synthetic Exit Data'!$A$2:$E$235,4,0)," NA")</f>
        <v xml:space="preserve"> NA</v>
      </c>
      <c r="J106" t="s">
        <v>24</v>
      </c>
      <c r="K106">
        <v>2</v>
      </c>
      <c r="L106" s="3">
        <v>62103</v>
      </c>
      <c r="M106" t="s">
        <v>34</v>
      </c>
      <c r="N106" t="s">
        <v>79</v>
      </c>
      <c r="O106">
        <v>6.5</v>
      </c>
      <c r="P106" t="s">
        <v>83</v>
      </c>
      <c r="Q106" t="s">
        <v>76</v>
      </c>
      <c r="R106">
        <v>2020</v>
      </c>
      <c r="S106" t="str">
        <f>IF(AND(HR_Employees[[#This Row],[Attrition]]="YES",HR_Employees[[#This Row],[Exit_Date]]&lt;&gt;""),YEAR(HR_Employees[[#This Row],[Exit_Date]]),"")</f>
        <v/>
      </c>
    </row>
    <row r="107" spans="1:19">
      <c r="A107" t="s">
        <v>260</v>
      </c>
      <c r="B107" t="s">
        <v>261</v>
      </c>
      <c r="C107">
        <v>40</v>
      </c>
      <c r="D107" t="s">
        <v>61</v>
      </c>
      <c r="E107" t="s">
        <v>32</v>
      </c>
      <c r="F107" t="s">
        <v>47</v>
      </c>
      <c r="G107" t="s">
        <v>48</v>
      </c>
      <c r="H107" s="2">
        <v>43721</v>
      </c>
      <c r="I107" s="2" t="str">
        <f>IFERROR(VLOOKUP(HR_Employees[[#This Row],[Employee_ID]],'[1]Synthetic Exit Data'!$A$2:$E$235,4,0)," NA")</f>
        <v xml:space="preserve"> NA</v>
      </c>
      <c r="J107" t="s">
        <v>24</v>
      </c>
      <c r="K107">
        <v>3</v>
      </c>
      <c r="L107" s="3">
        <v>169356</v>
      </c>
      <c r="M107" t="s">
        <v>25</v>
      </c>
      <c r="N107" t="s">
        <v>79</v>
      </c>
      <c r="O107">
        <v>7.08</v>
      </c>
      <c r="P107" t="s">
        <v>27</v>
      </c>
      <c r="Q107" t="s">
        <v>44</v>
      </c>
      <c r="R107">
        <v>2019</v>
      </c>
      <c r="S107" t="str">
        <f>IF(AND(HR_Employees[[#This Row],[Attrition]]="YES",HR_Employees[[#This Row],[Exit_Date]]&lt;&gt;""),YEAR(HR_Employees[[#This Row],[Exit_Date]]),"")</f>
        <v/>
      </c>
    </row>
    <row r="108" spans="1:19">
      <c r="A108" t="s">
        <v>262</v>
      </c>
      <c r="B108" t="s">
        <v>261</v>
      </c>
      <c r="C108">
        <v>45</v>
      </c>
      <c r="D108" t="s">
        <v>61</v>
      </c>
      <c r="E108" t="s">
        <v>21</v>
      </c>
      <c r="F108" t="s">
        <v>40</v>
      </c>
      <c r="G108" t="s">
        <v>23</v>
      </c>
      <c r="H108" s="2">
        <v>43568</v>
      </c>
      <c r="I108" s="2" t="str">
        <f>IFERROR(VLOOKUP(HR_Employees[[#This Row],[Employee_ID]],'[1]Synthetic Exit Data'!$A$2:$E$235,4,0)," NA")</f>
        <v xml:space="preserve"> NA</v>
      </c>
      <c r="J108" t="s">
        <v>24</v>
      </c>
      <c r="K108">
        <v>5</v>
      </c>
      <c r="L108" s="3">
        <v>71523</v>
      </c>
      <c r="M108" t="s">
        <v>34</v>
      </c>
      <c r="N108" t="s">
        <v>79</v>
      </c>
      <c r="O108">
        <v>7.5</v>
      </c>
      <c r="P108" t="s">
        <v>125</v>
      </c>
      <c r="Q108" t="s">
        <v>58</v>
      </c>
      <c r="R108">
        <v>2019</v>
      </c>
      <c r="S108" t="str">
        <f>IF(AND(HR_Employees[[#This Row],[Attrition]]="YES",HR_Employees[[#This Row],[Exit_Date]]&lt;&gt;""),YEAR(HR_Employees[[#This Row],[Exit_Date]]),"")</f>
        <v/>
      </c>
    </row>
    <row r="109" spans="1:19">
      <c r="A109" t="s">
        <v>263</v>
      </c>
      <c r="B109" t="s">
        <v>264</v>
      </c>
      <c r="C109">
        <v>52</v>
      </c>
      <c r="D109" t="s">
        <v>20</v>
      </c>
      <c r="E109" t="s">
        <v>32</v>
      </c>
      <c r="F109" t="s">
        <v>47</v>
      </c>
      <c r="G109" t="s">
        <v>23</v>
      </c>
      <c r="H109" s="2">
        <v>44694</v>
      </c>
      <c r="I109" s="2" t="str">
        <f>IFERROR(VLOOKUP(HR_Employees[[#This Row],[Employee_ID]],'[1]Synthetic Exit Data'!$A$2:$E$235,4,0)," NA")</f>
        <v xml:space="preserve"> NA</v>
      </c>
      <c r="J109" t="s">
        <v>24</v>
      </c>
      <c r="K109">
        <v>2</v>
      </c>
      <c r="L109" s="3">
        <v>43711</v>
      </c>
      <c r="M109" t="s">
        <v>42</v>
      </c>
      <c r="N109" t="s">
        <v>50</v>
      </c>
      <c r="O109">
        <v>4.42</v>
      </c>
      <c r="P109" t="s">
        <v>125</v>
      </c>
      <c r="Q109" t="s">
        <v>86</v>
      </c>
      <c r="R109">
        <v>2022</v>
      </c>
      <c r="S109" t="str">
        <f>IF(AND(HR_Employees[[#This Row],[Attrition]]="YES",HR_Employees[[#This Row],[Exit_Date]]&lt;&gt;""),YEAR(HR_Employees[[#This Row],[Exit_Date]]),"")</f>
        <v/>
      </c>
    </row>
    <row r="110" spans="1:19">
      <c r="A110" t="s">
        <v>265</v>
      </c>
      <c r="B110" t="s">
        <v>266</v>
      </c>
      <c r="C110">
        <v>35</v>
      </c>
      <c r="D110" t="s">
        <v>31</v>
      </c>
      <c r="E110" t="s">
        <v>21</v>
      </c>
      <c r="F110" t="s">
        <v>47</v>
      </c>
      <c r="G110" t="s">
        <v>23</v>
      </c>
      <c r="H110" s="2">
        <v>45456</v>
      </c>
      <c r="I110" s="2" t="str">
        <f>IFERROR(VLOOKUP(HR_Employees[[#This Row],[Employee_ID]],'[1]Synthetic Exit Data'!$A$2:$E$235,4,0)," NA")</f>
        <v xml:space="preserve"> NA</v>
      </c>
      <c r="J110" t="s">
        <v>24</v>
      </c>
      <c r="K110">
        <v>3</v>
      </c>
      <c r="L110" s="3">
        <v>42167</v>
      </c>
      <c r="M110" t="s">
        <v>42</v>
      </c>
      <c r="N110" t="s">
        <v>56</v>
      </c>
      <c r="O110">
        <v>2.33</v>
      </c>
      <c r="P110" t="s">
        <v>83</v>
      </c>
      <c r="Q110" t="s">
        <v>86</v>
      </c>
      <c r="R110">
        <v>2024</v>
      </c>
      <c r="S110" t="str">
        <f>IF(AND(HR_Employees[[#This Row],[Attrition]]="YES",HR_Employees[[#This Row],[Exit_Date]]&lt;&gt;""),YEAR(HR_Employees[[#This Row],[Exit_Date]]),"")</f>
        <v/>
      </c>
    </row>
    <row r="111" spans="1:19">
      <c r="A111" t="s">
        <v>267</v>
      </c>
      <c r="B111" t="s">
        <v>167</v>
      </c>
      <c r="C111">
        <v>35</v>
      </c>
      <c r="D111" t="s">
        <v>31</v>
      </c>
      <c r="E111" t="s">
        <v>21</v>
      </c>
      <c r="F111" t="s">
        <v>22</v>
      </c>
      <c r="G111" t="s">
        <v>33</v>
      </c>
      <c r="H111" s="2">
        <v>44255</v>
      </c>
      <c r="I111" s="2" t="str">
        <f>IFERROR(VLOOKUP(HR_Employees[[#This Row],[Employee_ID]],'[1]Synthetic Exit Data'!$A$2:$E$235,4,0)," NA")</f>
        <v>2022-10-23</v>
      </c>
      <c r="J111" t="s">
        <v>49</v>
      </c>
      <c r="K111">
        <v>2</v>
      </c>
      <c r="L111" s="3">
        <v>119593</v>
      </c>
      <c r="M111" t="s">
        <v>25</v>
      </c>
      <c r="N111" t="s">
        <v>79</v>
      </c>
      <c r="O111">
        <v>5.42</v>
      </c>
      <c r="P111" t="s">
        <v>51</v>
      </c>
      <c r="Q111" t="s">
        <v>28</v>
      </c>
      <c r="R111">
        <v>2021</v>
      </c>
      <c r="S111">
        <f>IF(AND(HR_Employees[[#This Row],[Attrition]]="YES",HR_Employees[[#This Row],[Exit_Date]]&lt;&gt;""),YEAR(HR_Employees[[#This Row],[Exit_Date]]),"")</f>
        <v>2022</v>
      </c>
    </row>
    <row r="112" spans="1:19">
      <c r="A112" t="s">
        <v>268</v>
      </c>
      <c r="B112" t="s">
        <v>269</v>
      </c>
      <c r="C112">
        <v>49</v>
      </c>
      <c r="D112" t="s">
        <v>20</v>
      </c>
      <c r="E112" t="s">
        <v>21</v>
      </c>
      <c r="F112" t="s">
        <v>73</v>
      </c>
      <c r="G112" t="s">
        <v>41</v>
      </c>
      <c r="H112" s="2">
        <v>45548</v>
      </c>
      <c r="I112" s="2" t="str">
        <f>IFERROR(VLOOKUP(HR_Employees[[#This Row],[Employee_ID]],'[1]Synthetic Exit Data'!$A$2:$E$235,4,0)," NA")</f>
        <v xml:space="preserve"> NA</v>
      </c>
      <c r="J112" t="s">
        <v>24</v>
      </c>
      <c r="K112">
        <v>3</v>
      </c>
      <c r="L112" s="3">
        <v>41079</v>
      </c>
      <c r="M112" t="s">
        <v>42</v>
      </c>
      <c r="N112" t="s">
        <v>56</v>
      </c>
      <c r="O112">
        <v>2.08</v>
      </c>
      <c r="P112" t="s">
        <v>35</v>
      </c>
      <c r="Q112" t="s">
        <v>86</v>
      </c>
      <c r="R112">
        <v>2024</v>
      </c>
      <c r="S112" t="str">
        <f>IF(AND(HR_Employees[[#This Row],[Attrition]]="YES",HR_Employees[[#This Row],[Exit_Date]]&lt;&gt;""),YEAR(HR_Employees[[#This Row],[Exit_Date]]),"")</f>
        <v/>
      </c>
    </row>
    <row r="113" spans="1:19">
      <c r="A113" t="s">
        <v>270</v>
      </c>
      <c r="B113" t="s">
        <v>271</v>
      </c>
      <c r="C113">
        <v>32</v>
      </c>
      <c r="D113" t="s">
        <v>31</v>
      </c>
      <c r="E113" t="s">
        <v>21</v>
      </c>
      <c r="F113" t="s">
        <v>151</v>
      </c>
      <c r="G113" t="s">
        <v>114</v>
      </c>
      <c r="H113" s="2">
        <v>41407</v>
      </c>
      <c r="I113" s="2" t="str">
        <f>IFERROR(VLOOKUP(HR_Employees[[#This Row],[Employee_ID]],'[1]Synthetic Exit Data'!$A$2:$E$235,4,0)," NA")</f>
        <v xml:space="preserve"> NA</v>
      </c>
      <c r="J113" t="s">
        <v>24</v>
      </c>
      <c r="K113">
        <v>3</v>
      </c>
      <c r="L113" s="3">
        <v>47653</v>
      </c>
      <c r="M113" t="s">
        <v>42</v>
      </c>
      <c r="N113" t="s">
        <v>26</v>
      </c>
      <c r="O113">
        <v>13.42</v>
      </c>
      <c r="P113" t="s">
        <v>57</v>
      </c>
      <c r="Q113" t="s">
        <v>28</v>
      </c>
      <c r="R113">
        <v>2013</v>
      </c>
      <c r="S113" t="str">
        <f>IF(AND(HR_Employees[[#This Row],[Attrition]]="YES",HR_Employees[[#This Row],[Exit_Date]]&lt;&gt;""),YEAR(HR_Employees[[#This Row],[Exit_Date]]),"")</f>
        <v/>
      </c>
    </row>
    <row r="114" spans="1:19">
      <c r="A114" t="s">
        <v>272</v>
      </c>
      <c r="B114" t="s">
        <v>273</v>
      </c>
      <c r="C114">
        <v>38</v>
      </c>
      <c r="D114" t="s">
        <v>61</v>
      </c>
      <c r="E114" t="s">
        <v>32</v>
      </c>
      <c r="F114" t="s">
        <v>73</v>
      </c>
      <c r="G114" t="s">
        <v>23</v>
      </c>
      <c r="H114" s="2">
        <v>45578</v>
      </c>
      <c r="I114" s="2" t="str">
        <f>IFERROR(VLOOKUP(HR_Employees[[#This Row],[Employee_ID]],'[1]Synthetic Exit Data'!$A$2:$E$235,4,0)," NA")</f>
        <v xml:space="preserve"> NA</v>
      </c>
      <c r="J114" t="s">
        <v>24</v>
      </c>
      <c r="K114">
        <v>3</v>
      </c>
      <c r="L114" s="3">
        <v>64543</v>
      </c>
      <c r="M114" t="s">
        <v>34</v>
      </c>
      <c r="N114" t="s">
        <v>56</v>
      </c>
      <c r="O114">
        <v>2</v>
      </c>
      <c r="P114" t="s">
        <v>83</v>
      </c>
      <c r="Q114" t="s">
        <v>92</v>
      </c>
      <c r="R114">
        <v>2024</v>
      </c>
      <c r="S114" t="str">
        <f>IF(AND(HR_Employees[[#This Row],[Attrition]]="YES",HR_Employees[[#This Row],[Exit_Date]]&lt;&gt;""),YEAR(HR_Employees[[#This Row],[Exit_Date]]),"")</f>
        <v/>
      </c>
    </row>
    <row r="115" spans="1:19">
      <c r="A115" t="s">
        <v>274</v>
      </c>
      <c r="B115" t="s">
        <v>275</v>
      </c>
      <c r="C115">
        <v>29</v>
      </c>
      <c r="D115" t="s">
        <v>31</v>
      </c>
      <c r="E115" t="s">
        <v>21</v>
      </c>
      <c r="F115" t="s">
        <v>109</v>
      </c>
      <c r="G115" t="s">
        <v>23</v>
      </c>
      <c r="H115" s="2">
        <v>44148</v>
      </c>
      <c r="I115" s="2" t="str">
        <f>IFERROR(VLOOKUP(HR_Employees[[#This Row],[Employee_ID]],'[1]Synthetic Exit Data'!$A$2:$E$235,4,0)," NA")</f>
        <v xml:space="preserve"> NA</v>
      </c>
      <c r="J115" t="s">
        <v>24</v>
      </c>
      <c r="K115">
        <v>4</v>
      </c>
      <c r="L115" s="3">
        <v>35273</v>
      </c>
      <c r="M115" t="s">
        <v>42</v>
      </c>
      <c r="N115" t="s">
        <v>79</v>
      </c>
      <c r="O115">
        <v>5.92</v>
      </c>
      <c r="P115" t="s">
        <v>83</v>
      </c>
      <c r="Q115" t="s">
        <v>28</v>
      </c>
      <c r="R115">
        <v>2020</v>
      </c>
      <c r="S115" t="str">
        <f>IF(AND(HR_Employees[[#This Row],[Attrition]]="YES",HR_Employees[[#This Row],[Exit_Date]]&lt;&gt;""),YEAR(HR_Employees[[#This Row],[Exit_Date]]),"")</f>
        <v/>
      </c>
    </row>
    <row r="116" spans="1:19">
      <c r="A116" t="s">
        <v>276</v>
      </c>
      <c r="B116" t="s">
        <v>229</v>
      </c>
      <c r="C116">
        <v>55</v>
      </c>
      <c r="D116" t="s">
        <v>20</v>
      </c>
      <c r="E116" t="s">
        <v>21</v>
      </c>
      <c r="F116" t="s">
        <v>151</v>
      </c>
      <c r="G116" t="s">
        <v>48</v>
      </c>
      <c r="H116" s="2">
        <v>46172</v>
      </c>
      <c r="I116" s="2" t="str">
        <f>IFERROR(VLOOKUP(HR_Employees[[#This Row],[Employee_ID]],'[1]Synthetic Exit Data'!$A$2:$E$235,4,0)," NA")</f>
        <v>2026-09-14</v>
      </c>
      <c r="J116" t="s">
        <v>49</v>
      </c>
      <c r="K116">
        <v>5</v>
      </c>
      <c r="L116" s="3">
        <v>18341</v>
      </c>
      <c r="M116" t="s">
        <v>82</v>
      </c>
      <c r="N116" t="s">
        <v>43</v>
      </c>
      <c r="O116">
        <v>0.33</v>
      </c>
      <c r="P116" t="s">
        <v>35</v>
      </c>
      <c r="Q116" t="s">
        <v>86</v>
      </c>
      <c r="R116">
        <v>2026</v>
      </c>
      <c r="S116">
        <f>IF(AND(HR_Employees[[#This Row],[Attrition]]="YES",HR_Employees[[#This Row],[Exit_Date]]&lt;&gt;""),YEAR(HR_Employees[[#This Row],[Exit_Date]]),"")</f>
        <v>2026</v>
      </c>
    </row>
    <row r="117" spans="1:19">
      <c r="A117" t="s">
        <v>277</v>
      </c>
      <c r="B117" t="s">
        <v>278</v>
      </c>
      <c r="C117">
        <v>51</v>
      </c>
      <c r="D117" t="s">
        <v>20</v>
      </c>
      <c r="E117" t="s">
        <v>32</v>
      </c>
      <c r="F117" t="s">
        <v>65</v>
      </c>
      <c r="G117" t="s">
        <v>48</v>
      </c>
      <c r="H117" s="2">
        <v>44482</v>
      </c>
      <c r="I117" s="2" t="str">
        <f>IFERROR(VLOOKUP(HR_Employees[[#This Row],[Employee_ID]],'[1]Synthetic Exit Data'!$A$2:$E$235,4,0)," NA")</f>
        <v xml:space="preserve"> NA</v>
      </c>
      <c r="J117" t="s">
        <v>24</v>
      </c>
      <c r="K117">
        <v>3</v>
      </c>
      <c r="L117" s="3">
        <v>24128</v>
      </c>
      <c r="M117" t="s">
        <v>82</v>
      </c>
      <c r="N117" t="s">
        <v>50</v>
      </c>
      <c r="O117">
        <v>5</v>
      </c>
      <c r="P117" t="s">
        <v>51</v>
      </c>
      <c r="Q117" t="s">
        <v>36</v>
      </c>
      <c r="R117">
        <v>2021</v>
      </c>
      <c r="S117" t="str">
        <f>IF(AND(HR_Employees[[#This Row],[Attrition]]="YES",HR_Employees[[#This Row],[Exit_Date]]&lt;&gt;""),YEAR(HR_Employees[[#This Row],[Exit_Date]]),"")</f>
        <v/>
      </c>
    </row>
    <row r="118" spans="1:19">
      <c r="A118" t="s">
        <v>279</v>
      </c>
      <c r="B118" t="s">
        <v>240</v>
      </c>
      <c r="C118">
        <v>28</v>
      </c>
      <c r="D118" t="s">
        <v>31</v>
      </c>
      <c r="E118" t="s">
        <v>32</v>
      </c>
      <c r="F118" t="s">
        <v>65</v>
      </c>
      <c r="G118" t="s">
        <v>23</v>
      </c>
      <c r="H118" s="2">
        <v>41407</v>
      </c>
      <c r="I118" s="2" t="str">
        <f>IFERROR(VLOOKUP(HR_Employees[[#This Row],[Employee_ID]],'[1]Synthetic Exit Data'!$A$2:$E$235,4,0)," NA")</f>
        <v xml:space="preserve"> NA</v>
      </c>
      <c r="J118" t="s">
        <v>24</v>
      </c>
      <c r="K118">
        <v>3</v>
      </c>
      <c r="L118" s="3">
        <v>126674</v>
      </c>
      <c r="M118" t="s">
        <v>25</v>
      </c>
      <c r="N118" t="s">
        <v>26</v>
      </c>
      <c r="O118">
        <v>13.42</v>
      </c>
      <c r="P118" t="s">
        <v>27</v>
      </c>
      <c r="Q118" t="s">
        <v>44</v>
      </c>
      <c r="R118">
        <v>2013</v>
      </c>
      <c r="S118" t="str">
        <f>IF(AND(HR_Employees[[#This Row],[Attrition]]="YES",HR_Employees[[#This Row],[Exit_Date]]&lt;&gt;""),YEAR(HR_Employees[[#This Row],[Exit_Date]]),"")</f>
        <v/>
      </c>
    </row>
    <row r="119" spans="1:19">
      <c r="A119" t="s">
        <v>280</v>
      </c>
      <c r="B119" t="s">
        <v>278</v>
      </c>
      <c r="C119">
        <v>31</v>
      </c>
      <c r="D119" t="s">
        <v>31</v>
      </c>
      <c r="E119" t="s">
        <v>21</v>
      </c>
      <c r="F119" t="s">
        <v>55</v>
      </c>
      <c r="G119" t="s">
        <v>48</v>
      </c>
      <c r="H119" s="2">
        <v>45395</v>
      </c>
      <c r="I119" s="2" t="str">
        <f>IFERROR(VLOOKUP(HR_Employees[[#This Row],[Employee_ID]],'[1]Synthetic Exit Data'!$A$2:$E$235,4,0)," NA")</f>
        <v xml:space="preserve"> NA</v>
      </c>
      <c r="J119" t="s">
        <v>24</v>
      </c>
      <c r="K119">
        <v>4</v>
      </c>
      <c r="L119" s="3">
        <v>89932</v>
      </c>
      <c r="M119" t="s">
        <v>66</v>
      </c>
      <c r="N119" t="s">
        <v>56</v>
      </c>
      <c r="O119">
        <v>2.5</v>
      </c>
      <c r="P119" t="s">
        <v>83</v>
      </c>
      <c r="Q119" t="s">
        <v>28</v>
      </c>
      <c r="R119">
        <v>2024</v>
      </c>
      <c r="S119" t="str">
        <f>IF(AND(HR_Employees[[#This Row],[Attrition]]="YES",HR_Employees[[#This Row],[Exit_Date]]&lt;&gt;""),YEAR(HR_Employees[[#This Row],[Exit_Date]]),"")</f>
        <v/>
      </c>
    </row>
    <row r="120" spans="1:19">
      <c r="A120" t="s">
        <v>281</v>
      </c>
      <c r="B120" t="s">
        <v>282</v>
      </c>
      <c r="C120">
        <v>30</v>
      </c>
      <c r="D120" t="s">
        <v>31</v>
      </c>
      <c r="E120" t="s">
        <v>21</v>
      </c>
      <c r="F120" t="s">
        <v>55</v>
      </c>
      <c r="G120" t="s">
        <v>23</v>
      </c>
      <c r="H120" s="2">
        <v>45578</v>
      </c>
      <c r="I120" s="2" t="str">
        <f>IFERROR(VLOOKUP(HR_Employees[[#This Row],[Employee_ID]],'[1]Synthetic Exit Data'!$A$2:$E$235,4,0)," NA")</f>
        <v xml:space="preserve"> NA</v>
      </c>
      <c r="J120" t="s">
        <v>24</v>
      </c>
      <c r="K120">
        <v>5</v>
      </c>
      <c r="L120" s="3">
        <v>94928</v>
      </c>
      <c r="M120" t="s">
        <v>66</v>
      </c>
      <c r="N120" t="s">
        <v>56</v>
      </c>
      <c r="O120">
        <v>2</v>
      </c>
      <c r="P120" t="s">
        <v>27</v>
      </c>
      <c r="Q120" t="s">
        <v>44</v>
      </c>
      <c r="R120">
        <v>2024</v>
      </c>
      <c r="S120" t="str">
        <f>IF(AND(HR_Employees[[#This Row],[Attrition]]="YES",HR_Employees[[#This Row],[Exit_Date]]&lt;&gt;""),YEAR(HR_Employees[[#This Row],[Exit_Date]]),"")</f>
        <v/>
      </c>
    </row>
    <row r="121" spans="1:19">
      <c r="A121" t="s">
        <v>283</v>
      </c>
      <c r="B121" t="s">
        <v>284</v>
      </c>
      <c r="C121">
        <v>42</v>
      </c>
      <c r="D121" t="s">
        <v>61</v>
      </c>
      <c r="E121" t="s">
        <v>21</v>
      </c>
      <c r="F121" t="s">
        <v>73</v>
      </c>
      <c r="G121" t="s">
        <v>48</v>
      </c>
      <c r="H121" s="2">
        <v>46111</v>
      </c>
      <c r="I121" s="2" t="str">
        <f>IFERROR(VLOOKUP(HR_Employees[[#This Row],[Employee_ID]],'[1]Synthetic Exit Data'!$A$2:$E$235,4,0)," NA")</f>
        <v>2026-06-07</v>
      </c>
      <c r="J121" t="s">
        <v>49</v>
      </c>
      <c r="K121">
        <v>3</v>
      </c>
      <c r="L121" s="3">
        <v>72120</v>
      </c>
      <c r="M121" t="s">
        <v>34</v>
      </c>
      <c r="N121" t="s">
        <v>43</v>
      </c>
      <c r="O121">
        <v>0.42</v>
      </c>
      <c r="P121" t="s">
        <v>35</v>
      </c>
      <c r="Q121" t="s">
        <v>36</v>
      </c>
      <c r="R121">
        <v>2026</v>
      </c>
      <c r="S121">
        <f>IF(AND(HR_Employees[[#This Row],[Attrition]]="YES",HR_Employees[[#This Row],[Exit_Date]]&lt;&gt;""),YEAR(HR_Employees[[#This Row],[Exit_Date]]),"")</f>
        <v>2026</v>
      </c>
    </row>
    <row r="122" spans="1:19">
      <c r="A122" t="s">
        <v>285</v>
      </c>
      <c r="B122" t="s">
        <v>286</v>
      </c>
      <c r="C122">
        <v>42</v>
      </c>
      <c r="D122" t="s">
        <v>61</v>
      </c>
      <c r="E122" t="s">
        <v>21</v>
      </c>
      <c r="F122" t="s">
        <v>151</v>
      </c>
      <c r="G122" t="s">
        <v>48</v>
      </c>
      <c r="H122" s="2">
        <v>42853</v>
      </c>
      <c r="I122" s="2" t="str">
        <f>IFERROR(VLOOKUP(HR_Employees[[#This Row],[Employee_ID]],'[1]Synthetic Exit Data'!$A$2:$E$235,4,0)," NA")</f>
        <v>2020-03-13</v>
      </c>
      <c r="J122" t="s">
        <v>49</v>
      </c>
      <c r="K122">
        <v>4</v>
      </c>
      <c r="L122" s="3">
        <v>35232</v>
      </c>
      <c r="M122" t="s">
        <v>42</v>
      </c>
      <c r="N122" t="s">
        <v>79</v>
      </c>
      <c r="O122">
        <v>9.42</v>
      </c>
      <c r="P122" t="s">
        <v>35</v>
      </c>
      <c r="Q122" t="s">
        <v>36</v>
      </c>
      <c r="R122">
        <v>2017</v>
      </c>
      <c r="S122">
        <f>IF(AND(HR_Employees[[#This Row],[Attrition]]="YES",HR_Employees[[#This Row],[Exit_Date]]&lt;&gt;""),YEAR(HR_Employees[[#This Row],[Exit_Date]]),"")</f>
        <v>2020</v>
      </c>
    </row>
    <row r="123" spans="1:19">
      <c r="A123" t="s">
        <v>287</v>
      </c>
      <c r="B123" t="s">
        <v>288</v>
      </c>
      <c r="C123">
        <v>51</v>
      </c>
      <c r="D123" t="s">
        <v>20</v>
      </c>
      <c r="E123" t="s">
        <v>32</v>
      </c>
      <c r="F123" t="s">
        <v>109</v>
      </c>
      <c r="G123" t="s">
        <v>48</v>
      </c>
      <c r="H123" s="2">
        <v>44148</v>
      </c>
      <c r="I123" s="2" t="str">
        <f>IFERROR(VLOOKUP(HR_Employees[[#This Row],[Employee_ID]],'[1]Synthetic Exit Data'!$A$2:$E$235,4,0)," NA")</f>
        <v xml:space="preserve"> NA</v>
      </c>
      <c r="J123" t="s">
        <v>24</v>
      </c>
      <c r="K123">
        <v>2</v>
      </c>
      <c r="L123" s="3">
        <v>98647</v>
      </c>
      <c r="M123" t="s">
        <v>66</v>
      </c>
      <c r="N123" t="s">
        <v>79</v>
      </c>
      <c r="O123">
        <v>5.92</v>
      </c>
      <c r="P123" t="s">
        <v>57</v>
      </c>
      <c r="Q123" t="s">
        <v>36</v>
      </c>
      <c r="R123">
        <v>2020</v>
      </c>
      <c r="S123" t="str">
        <f>IF(AND(HR_Employees[[#This Row],[Attrition]]="YES",HR_Employees[[#This Row],[Exit_Date]]&lt;&gt;""),YEAR(HR_Employees[[#This Row],[Exit_Date]]),"")</f>
        <v/>
      </c>
    </row>
    <row r="124" spans="1:19">
      <c r="A124" t="s">
        <v>289</v>
      </c>
      <c r="B124" t="s">
        <v>290</v>
      </c>
      <c r="C124">
        <v>22</v>
      </c>
      <c r="D124" t="s">
        <v>39</v>
      </c>
      <c r="E124" t="s">
        <v>32</v>
      </c>
      <c r="F124" t="s">
        <v>65</v>
      </c>
      <c r="G124" t="s">
        <v>114</v>
      </c>
      <c r="H124" s="2">
        <v>45273</v>
      </c>
      <c r="I124" s="2" t="str">
        <f>IFERROR(VLOOKUP(HR_Employees[[#This Row],[Employee_ID]],'[1]Synthetic Exit Data'!$A$2:$E$235,4,0)," NA")</f>
        <v xml:space="preserve"> NA</v>
      </c>
      <c r="J124" t="s">
        <v>24</v>
      </c>
      <c r="K124">
        <v>4</v>
      </c>
      <c r="L124" s="3">
        <v>33036</v>
      </c>
      <c r="M124" t="s">
        <v>42</v>
      </c>
      <c r="N124" t="s">
        <v>56</v>
      </c>
      <c r="O124">
        <v>2.83</v>
      </c>
      <c r="P124" t="s">
        <v>51</v>
      </c>
      <c r="Q124" t="s">
        <v>36</v>
      </c>
      <c r="R124">
        <v>2023</v>
      </c>
      <c r="S124" t="str">
        <f>IF(AND(HR_Employees[[#This Row],[Attrition]]="YES",HR_Employees[[#This Row],[Exit_Date]]&lt;&gt;""),YEAR(HR_Employees[[#This Row],[Exit_Date]]),"")</f>
        <v/>
      </c>
    </row>
    <row r="125" spans="1:19">
      <c r="A125" t="s">
        <v>291</v>
      </c>
      <c r="B125" t="s">
        <v>292</v>
      </c>
      <c r="C125">
        <v>49</v>
      </c>
      <c r="D125" t="s">
        <v>20</v>
      </c>
      <c r="E125" t="s">
        <v>32</v>
      </c>
      <c r="F125" t="s">
        <v>40</v>
      </c>
      <c r="G125" t="s">
        <v>33</v>
      </c>
      <c r="H125" s="2">
        <v>42656</v>
      </c>
      <c r="I125" s="2" t="str">
        <f>IFERROR(VLOOKUP(HR_Employees[[#This Row],[Employee_ID]],'[1]Synthetic Exit Data'!$A$2:$E$235,4,0)," NA")</f>
        <v xml:space="preserve"> NA</v>
      </c>
      <c r="J125" t="s">
        <v>24</v>
      </c>
      <c r="K125">
        <v>4</v>
      </c>
      <c r="L125" s="3">
        <v>52238</v>
      </c>
      <c r="M125" t="s">
        <v>34</v>
      </c>
      <c r="N125" t="s">
        <v>79</v>
      </c>
      <c r="O125">
        <v>10</v>
      </c>
      <c r="P125" t="s">
        <v>27</v>
      </c>
      <c r="Q125" t="s">
        <v>62</v>
      </c>
      <c r="R125">
        <v>2016</v>
      </c>
      <c r="S125" t="str">
        <f>IF(AND(HR_Employees[[#This Row],[Attrition]]="YES",HR_Employees[[#This Row],[Exit_Date]]&lt;&gt;""),YEAR(HR_Employees[[#This Row],[Exit_Date]]),"")</f>
        <v/>
      </c>
    </row>
    <row r="126" spans="1:19">
      <c r="A126" t="s">
        <v>293</v>
      </c>
      <c r="B126" t="s">
        <v>294</v>
      </c>
      <c r="C126">
        <v>30</v>
      </c>
      <c r="D126" t="s">
        <v>31</v>
      </c>
      <c r="E126" t="s">
        <v>21</v>
      </c>
      <c r="F126" t="s">
        <v>55</v>
      </c>
      <c r="G126" t="s">
        <v>41</v>
      </c>
      <c r="H126" s="2">
        <v>45182</v>
      </c>
      <c r="I126" s="2" t="str">
        <f>IFERROR(VLOOKUP(HR_Employees[[#This Row],[Employee_ID]],'[1]Synthetic Exit Data'!$A$2:$E$235,4,0)," NA")</f>
        <v xml:space="preserve"> NA</v>
      </c>
      <c r="J126" t="s">
        <v>24</v>
      </c>
      <c r="K126">
        <v>4</v>
      </c>
      <c r="L126" s="3">
        <v>30892</v>
      </c>
      <c r="M126" t="s">
        <v>42</v>
      </c>
      <c r="N126" t="s">
        <v>50</v>
      </c>
      <c r="O126">
        <v>3.08</v>
      </c>
      <c r="P126" t="s">
        <v>125</v>
      </c>
      <c r="Q126" t="s">
        <v>76</v>
      </c>
      <c r="R126">
        <v>2023</v>
      </c>
      <c r="S126" t="str">
        <f>IF(AND(HR_Employees[[#This Row],[Attrition]]="YES",HR_Employees[[#This Row],[Exit_Date]]&lt;&gt;""),YEAR(HR_Employees[[#This Row],[Exit_Date]]),"")</f>
        <v/>
      </c>
    </row>
    <row r="127" spans="1:19">
      <c r="A127" t="s">
        <v>295</v>
      </c>
      <c r="B127" t="s">
        <v>296</v>
      </c>
      <c r="C127">
        <v>49</v>
      </c>
      <c r="D127" t="s">
        <v>20</v>
      </c>
      <c r="E127" t="s">
        <v>21</v>
      </c>
      <c r="F127" t="s">
        <v>40</v>
      </c>
      <c r="G127" t="s">
        <v>48</v>
      </c>
      <c r="H127" s="2">
        <v>43325</v>
      </c>
      <c r="I127" s="2" t="str">
        <f>IFERROR(VLOOKUP(HR_Employees[[#This Row],[Employee_ID]],'[1]Synthetic Exit Data'!$A$2:$E$235,4,0)," NA")</f>
        <v xml:space="preserve"> NA</v>
      </c>
      <c r="J127" t="s">
        <v>24</v>
      </c>
      <c r="K127">
        <v>4</v>
      </c>
      <c r="L127" s="3">
        <v>18979</v>
      </c>
      <c r="M127" t="s">
        <v>82</v>
      </c>
      <c r="N127" t="s">
        <v>79</v>
      </c>
      <c r="O127">
        <v>8.17</v>
      </c>
      <c r="P127" t="s">
        <v>83</v>
      </c>
      <c r="Q127" t="s">
        <v>62</v>
      </c>
      <c r="R127">
        <v>2018</v>
      </c>
      <c r="S127" t="str">
        <f>IF(AND(HR_Employees[[#This Row],[Attrition]]="YES",HR_Employees[[#This Row],[Exit_Date]]&lt;&gt;""),YEAR(HR_Employees[[#This Row],[Exit_Date]]),"")</f>
        <v/>
      </c>
    </row>
    <row r="128" spans="1:19">
      <c r="A128" t="s">
        <v>297</v>
      </c>
      <c r="B128" t="s">
        <v>298</v>
      </c>
      <c r="C128">
        <v>55</v>
      </c>
      <c r="D128" t="s">
        <v>20</v>
      </c>
      <c r="E128" t="s">
        <v>21</v>
      </c>
      <c r="F128" t="s">
        <v>55</v>
      </c>
      <c r="G128" t="s">
        <v>33</v>
      </c>
      <c r="H128" s="2">
        <v>46024</v>
      </c>
      <c r="I128" s="2" t="str">
        <f>IFERROR(VLOOKUP(HR_Employees[[#This Row],[Employee_ID]],'[1]Synthetic Exit Data'!$A$2:$E$235,4,0)," NA")</f>
        <v>2026-02-27</v>
      </c>
      <c r="J128" t="s">
        <v>49</v>
      </c>
      <c r="K128">
        <v>4</v>
      </c>
      <c r="L128" s="3">
        <v>55488</v>
      </c>
      <c r="M128" t="s">
        <v>34</v>
      </c>
      <c r="N128" t="s">
        <v>43</v>
      </c>
      <c r="O128">
        <v>0.57999999999999996</v>
      </c>
      <c r="P128" t="s">
        <v>125</v>
      </c>
      <c r="Q128" t="s">
        <v>92</v>
      </c>
      <c r="R128">
        <v>2026</v>
      </c>
      <c r="S128">
        <f>IF(AND(HR_Employees[[#This Row],[Attrition]]="YES",HR_Employees[[#This Row],[Exit_Date]]&lt;&gt;""),YEAR(HR_Employees[[#This Row],[Exit_Date]]),"")</f>
        <v>2026</v>
      </c>
    </row>
    <row r="129" spans="1:19">
      <c r="A129" t="s">
        <v>299</v>
      </c>
      <c r="B129" t="s">
        <v>300</v>
      </c>
      <c r="C129">
        <v>44</v>
      </c>
      <c r="D129" t="s">
        <v>61</v>
      </c>
      <c r="E129" t="s">
        <v>21</v>
      </c>
      <c r="F129" t="s">
        <v>151</v>
      </c>
      <c r="G129" t="s">
        <v>41</v>
      </c>
      <c r="H129" s="2">
        <v>45760</v>
      </c>
      <c r="I129" s="2" t="str">
        <f>IFERROR(VLOOKUP(HR_Employees[[#This Row],[Employee_ID]],'[1]Synthetic Exit Data'!$A$2:$E$235,4,0)," NA")</f>
        <v xml:space="preserve"> NA</v>
      </c>
      <c r="J129" t="s">
        <v>24</v>
      </c>
      <c r="K129">
        <v>4</v>
      </c>
      <c r="L129" s="3">
        <v>27383</v>
      </c>
      <c r="M129" t="s">
        <v>82</v>
      </c>
      <c r="N129" t="s">
        <v>56</v>
      </c>
      <c r="O129">
        <v>1.5</v>
      </c>
      <c r="P129" t="s">
        <v>51</v>
      </c>
      <c r="Q129" t="s">
        <v>36</v>
      </c>
      <c r="R129">
        <v>2025</v>
      </c>
      <c r="S129" t="str">
        <f>IF(AND(HR_Employees[[#This Row],[Attrition]]="YES",HR_Employees[[#This Row],[Exit_Date]]&lt;&gt;""),YEAR(HR_Employees[[#This Row],[Exit_Date]]),"")</f>
        <v/>
      </c>
    </row>
    <row r="130" spans="1:19">
      <c r="A130" t="s">
        <v>301</v>
      </c>
      <c r="B130" t="s">
        <v>302</v>
      </c>
      <c r="C130">
        <v>50</v>
      </c>
      <c r="D130" t="s">
        <v>20</v>
      </c>
      <c r="E130" t="s">
        <v>32</v>
      </c>
      <c r="F130" t="s">
        <v>47</v>
      </c>
      <c r="G130" t="s">
        <v>23</v>
      </c>
      <c r="H130" s="2">
        <v>42564</v>
      </c>
      <c r="I130" s="2" t="str">
        <f>IFERROR(VLOOKUP(HR_Employees[[#This Row],[Employee_ID]],'[1]Synthetic Exit Data'!$A$2:$E$235,4,0)," NA")</f>
        <v xml:space="preserve"> NA</v>
      </c>
      <c r="J130" t="s">
        <v>24</v>
      </c>
      <c r="K130">
        <v>2</v>
      </c>
      <c r="L130" s="3">
        <v>93672</v>
      </c>
      <c r="M130" t="s">
        <v>66</v>
      </c>
      <c r="N130" t="s">
        <v>26</v>
      </c>
      <c r="O130">
        <v>10.25</v>
      </c>
      <c r="P130" t="s">
        <v>57</v>
      </c>
      <c r="Q130" t="s">
        <v>44</v>
      </c>
      <c r="R130">
        <v>2016</v>
      </c>
      <c r="S130" t="str">
        <f>IF(AND(HR_Employees[[#This Row],[Attrition]]="YES",HR_Employees[[#This Row],[Exit_Date]]&lt;&gt;""),YEAR(HR_Employees[[#This Row],[Exit_Date]]),"")</f>
        <v/>
      </c>
    </row>
    <row r="131" spans="1:19">
      <c r="A131" t="s">
        <v>303</v>
      </c>
      <c r="B131" t="s">
        <v>304</v>
      </c>
      <c r="C131">
        <v>53</v>
      </c>
      <c r="D131" t="s">
        <v>20</v>
      </c>
      <c r="E131" t="s">
        <v>21</v>
      </c>
      <c r="F131" t="s">
        <v>40</v>
      </c>
      <c r="G131" t="s">
        <v>48</v>
      </c>
      <c r="H131" s="2">
        <v>45425</v>
      </c>
      <c r="I131" s="2" t="str">
        <f>IFERROR(VLOOKUP(HR_Employees[[#This Row],[Employee_ID]],'[1]Synthetic Exit Data'!$A$2:$E$235,4,0)," NA")</f>
        <v xml:space="preserve"> NA</v>
      </c>
      <c r="J131" t="s">
        <v>24</v>
      </c>
      <c r="K131">
        <v>3</v>
      </c>
      <c r="L131" s="3">
        <v>66203</v>
      </c>
      <c r="M131" t="s">
        <v>34</v>
      </c>
      <c r="N131" t="s">
        <v>56</v>
      </c>
      <c r="O131">
        <v>2.42</v>
      </c>
      <c r="P131" t="s">
        <v>51</v>
      </c>
      <c r="Q131" t="s">
        <v>58</v>
      </c>
      <c r="R131">
        <v>2024</v>
      </c>
      <c r="S131" t="str">
        <f>IF(AND(HR_Employees[[#This Row],[Attrition]]="YES",HR_Employees[[#This Row],[Exit_Date]]&lt;&gt;""),YEAR(HR_Employees[[#This Row],[Exit_Date]]),"")</f>
        <v/>
      </c>
    </row>
    <row r="132" spans="1:19">
      <c r="A132" t="s">
        <v>305</v>
      </c>
      <c r="B132" t="s">
        <v>273</v>
      </c>
      <c r="C132">
        <v>39</v>
      </c>
      <c r="D132" t="s">
        <v>61</v>
      </c>
      <c r="E132" t="s">
        <v>21</v>
      </c>
      <c r="F132" t="s">
        <v>22</v>
      </c>
      <c r="G132" t="s">
        <v>48</v>
      </c>
      <c r="H132" s="2">
        <v>45029</v>
      </c>
      <c r="I132" s="2" t="str">
        <f>IFERROR(VLOOKUP(HR_Employees[[#This Row],[Employee_ID]],'[1]Synthetic Exit Data'!$A$2:$E$235,4,0)," NA")</f>
        <v xml:space="preserve"> NA</v>
      </c>
      <c r="J132" t="s">
        <v>24</v>
      </c>
      <c r="K132">
        <v>4</v>
      </c>
      <c r="L132" s="3">
        <v>29842</v>
      </c>
      <c r="M132" t="s">
        <v>82</v>
      </c>
      <c r="N132" t="s">
        <v>50</v>
      </c>
      <c r="O132">
        <v>3.5</v>
      </c>
      <c r="P132" t="s">
        <v>57</v>
      </c>
      <c r="Q132" t="s">
        <v>28</v>
      </c>
      <c r="R132">
        <v>2023</v>
      </c>
      <c r="S132" t="str">
        <f>IF(AND(HR_Employees[[#This Row],[Attrition]]="YES",HR_Employees[[#This Row],[Exit_Date]]&lt;&gt;""),YEAR(HR_Employees[[#This Row],[Exit_Date]]),"")</f>
        <v/>
      </c>
    </row>
    <row r="133" spans="1:19">
      <c r="A133" t="s">
        <v>306</v>
      </c>
      <c r="B133" t="s">
        <v>307</v>
      </c>
      <c r="C133">
        <v>28</v>
      </c>
      <c r="D133" t="s">
        <v>31</v>
      </c>
      <c r="E133" t="s">
        <v>21</v>
      </c>
      <c r="F133" t="s">
        <v>151</v>
      </c>
      <c r="G133" t="s">
        <v>33</v>
      </c>
      <c r="H133" s="2">
        <v>45974</v>
      </c>
      <c r="I133" s="2" t="str">
        <f>IFERROR(VLOOKUP(HR_Employees[[#This Row],[Employee_ID]],'[1]Synthetic Exit Data'!$A$2:$E$235,4,0)," NA")</f>
        <v xml:space="preserve"> NA</v>
      </c>
      <c r="J133" t="s">
        <v>24</v>
      </c>
      <c r="K133">
        <v>3</v>
      </c>
      <c r="L133" s="3">
        <v>51500</v>
      </c>
      <c r="M133" t="s">
        <v>34</v>
      </c>
      <c r="N133" t="s">
        <v>43</v>
      </c>
      <c r="O133">
        <v>0.92</v>
      </c>
      <c r="P133" t="s">
        <v>27</v>
      </c>
      <c r="Q133" t="s">
        <v>58</v>
      </c>
      <c r="R133">
        <v>2025</v>
      </c>
      <c r="S133" t="str">
        <f>IF(AND(HR_Employees[[#This Row],[Attrition]]="YES",HR_Employees[[#This Row],[Exit_Date]]&lt;&gt;""),YEAR(HR_Employees[[#This Row],[Exit_Date]]),"")</f>
        <v/>
      </c>
    </row>
    <row r="134" spans="1:19">
      <c r="A134" t="s">
        <v>308</v>
      </c>
      <c r="B134" t="s">
        <v>309</v>
      </c>
      <c r="C134">
        <v>61</v>
      </c>
      <c r="D134" t="s">
        <v>54</v>
      </c>
      <c r="E134" t="s">
        <v>32</v>
      </c>
      <c r="F134" t="s">
        <v>40</v>
      </c>
      <c r="G134" t="s">
        <v>48</v>
      </c>
      <c r="H134" s="2">
        <v>44504</v>
      </c>
      <c r="I134" s="2" t="str">
        <f>IFERROR(VLOOKUP(HR_Employees[[#This Row],[Employee_ID]],'[1]Synthetic Exit Data'!$A$2:$E$235,4,0)," NA")</f>
        <v>2021-12-04</v>
      </c>
      <c r="J134" t="s">
        <v>49</v>
      </c>
      <c r="K134">
        <v>2</v>
      </c>
      <c r="L134" s="3">
        <v>166137</v>
      </c>
      <c r="M134" t="s">
        <v>25</v>
      </c>
      <c r="N134" t="s">
        <v>50</v>
      </c>
      <c r="O134">
        <v>4.92</v>
      </c>
      <c r="P134" t="s">
        <v>35</v>
      </c>
      <c r="Q134" t="s">
        <v>58</v>
      </c>
      <c r="R134">
        <v>2021</v>
      </c>
      <c r="S134">
        <f>IF(AND(HR_Employees[[#This Row],[Attrition]]="YES",HR_Employees[[#This Row],[Exit_Date]]&lt;&gt;""),YEAR(HR_Employees[[#This Row],[Exit_Date]]),"")</f>
        <v>2021</v>
      </c>
    </row>
    <row r="135" spans="1:19">
      <c r="A135" t="s">
        <v>310</v>
      </c>
      <c r="B135" t="s">
        <v>311</v>
      </c>
      <c r="C135">
        <v>23</v>
      </c>
      <c r="D135" t="s">
        <v>39</v>
      </c>
      <c r="E135" t="s">
        <v>21</v>
      </c>
      <c r="F135" t="s">
        <v>47</v>
      </c>
      <c r="G135" t="s">
        <v>33</v>
      </c>
      <c r="H135" s="2">
        <v>43964</v>
      </c>
      <c r="I135" s="2" t="str">
        <f>IFERROR(VLOOKUP(HR_Employees[[#This Row],[Employee_ID]],'[1]Synthetic Exit Data'!$A$2:$E$235,4,0)," NA")</f>
        <v xml:space="preserve"> NA</v>
      </c>
      <c r="J135" t="s">
        <v>24</v>
      </c>
      <c r="K135">
        <v>2</v>
      </c>
      <c r="L135" s="3">
        <v>66743</v>
      </c>
      <c r="M135" t="s">
        <v>34</v>
      </c>
      <c r="N135" t="s">
        <v>79</v>
      </c>
      <c r="O135">
        <v>6.42</v>
      </c>
      <c r="P135" t="s">
        <v>51</v>
      </c>
      <c r="Q135" t="s">
        <v>36</v>
      </c>
      <c r="R135">
        <v>2020</v>
      </c>
      <c r="S135" t="str">
        <f>IF(AND(HR_Employees[[#This Row],[Attrition]]="YES",HR_Employees[[#This Row],[Exit_Date]]&lt;&gt;""),YEAR(HR_Employees[[#This Row],[Exit_Date]]),"")</f>
        <v/>
      </c>
    </row>
    <row r="136" spans="1:19">
      <c r="A136" t="s">
        <v>312</v>
      </c>
      <c r="B136" t="s">
        <v>313</v>
      </c>
      <c r="C136">
        <v>43</v>
      </c>
      <c r="D136" t="s">
        <v>61</v>
      </c>
      <c r="E136" t="s">
        <v>32</v>
      </c>
      <c r="F136" t="s">
        <v>151</v>
      </c>
      <c r="G136" t="s">
        <v>23</v>
      </c>
      <c r="H136" s="2">
        <v>43568</v>
      </c>
      <c r="I136" s="2" t="str">
        <f>IFERROR(VLOOKUP(HR_Employees[[#This Row],[Employee_ID]],'[1]Synthetic Exit Data'!$A$2:$E$235,4,0)," NA")</f>
        <v xml:space="preserve"> NA</v>
      </c>
      <c r="J136" t="s">
        <v>24</v>
      </c>
      <c r="K136">
        <v>1</v>
      </c>
      <c r="L136" s="3">
        <v>29504</v>
      </c>
      <c r="M136" t="s">
        <v>82</v>
      </c>
      <c r="N136" t="s">
        <v>79</v>
      </c>
      <c r="O136">
        <v>7.5</v>
      </c>
      <c r="P136" t="s">
        <v>27</v>
      </c>
      <c r="Q136" t="s">
        <v>76</v>
      </c>
      <c r="R136">
        <v>2019</v>
      </c>
      <c r="S136" t="str">
        <f>IF(AND(HR_Employees[[#This Row],[Attrition]]="YES",HR_Employees[[#This Row],[Exit_Date]]&lt;&gt;""),YEAR(HR_Employees[[#This Row],[Exit_Date]]),"")</f>
        <v/>
      </c>
    </row>
    <row r="137" spans="1:19">
      <c r="A137" t="s">
        <v>314</v>
      </c>
      <c r="B137" t="s">
        <v>315</v>
      </c>
      <c r="C137">
        <v>23</v>
      </c>
      <c r="D137" t="s">
        <v>39</v>
      </c>
      <c r="E137" t="s">
        <v>21</v>
      </c>
      <c r="F137" t="s">
        <v>47</v>
      </c>
      <c r="G137" t="s">
        <v>48</v>
      </c>
      <c r="H137" s="2">
        <v>41103</v>
      </c>
      <c r="I137" s="2" t="str">
        <f>IFERROR(VLOOKUP(HR_Employees[[#This Row],[Employee_ID]],'[1]Synthetic Exit Data'!$A$2:$E$235,4,0)," NA")</f>
        <v xml:space="preserve"> NA</v>
      </c>
      <c r="J137" t="s">
        <v>24</v>
      </c>
      <c r="K137">
        <v>1</v>
      </c>
      <c r="L137" s="3">
        <v>66364</v>
      </c>
      <c r="M137" t="s">
        <v>34</v>
      </c>
      <c r="N137" t="s">
        <v>26</v>
      </c>
      <c r="O137">
        <v>14.25</v>
      </c>
      <c r="P137" t="s">
        <v>27</v>
      </c>
      <c r="Q137" t="s">
        <v>62</v>
      </c>
      <c r="R137">
        <v>2012</v>
      </c>
      <c r="S137" t="str">
        <f>IF(AND(HR_Employees[[#This Row],[Attrition]]="YES",HR_Employees[[#This Row],[Exit_Date]]&lt;&gt;""),YEAR(HR_Employees[[#This Row],[Exit_Date]]),"")</f>
        <v/>
      </c>
    </row>
    <row r="138" spans="1:19">
      <c r="A138" t="s">
        <v>316</v>
      </c>
      <c r="B138" t="s">
        <v>158</v>
      </c>
      <c r="C138">
        <v>38</v>
      </c>
      <c r="D138" t="s">
        <v>61</v>
      </c>
      <c r="E138" t="s">
        <v>21</v>
      </c>
      <c r="F138" t="s">
        <v>151</v>
      </c>
      <c r="G138" t="s">
        <v>23</v>
      </c>
      <c r="H138" s="2">
        <v>43417</v>
      </c>
      <c r="I138" s="2" t="str">
        <f>IFERROR(VLOOKUP(HR_Employees[[#This Row],[Employee_ID]],'[1]Synthetic Exit Data'!$A$2:$E$235,4,0)," NA")</f>
        <v xml:space="preserve"> NA</v>
      </c>
      <c r="J138" t="s">
        <v>24</v>
      </c>
      <c r="K138">
        <v>4</v>
      </c>
      <c r="L138" s="3">
        <v>66634</v>
      </c>
      <c r="M138" t="s">
        <v>34</v>
      </c>
      <c r="N138" t="s">
        <v>79</v>
      </c>
      <c r="O138">
        <v>7.92</v>
      </c>
      <c r="P138" t="s">
        <v>51</v>
      </c>
      <c r="Q138" t="s">
        <v>86</v>
      </c>
      <c r="R138">
        <v>2018</v>
      </c>
      <c r="S138" t="str">
        <f>IF(AND(HR_Employees[[#This Row],[Attrition]]="YES",HR_Employees[[#This Row],[Exit_Date]]&lt;&gt;""),YEAR(HR_Employees[[#This Row],[Exit_Date]]),"")</f>
        <v/>
      </c>
    </row>
    <row r="139" spans="1:19">
      <c r="A139" t="s">
        <v>317</v>
      </c>
      <c r="B139" t="s">
        <v>318</v>
      </c>
      <c r="C139">
        <v>25</v>
      </c>
      <c r="D139" t="s">
        <v>39</v>
      </c>
      <c r="E139" t="s">
        <v>32</v>
      </c>
      <c r="F139" t="s">
        <v>40</v>
      </c>
      <c r="G139" t="s">
        <v>48</v>
      </c>
      <c r="H139" s="2">
        <v>41499</v>
      </c>
      <c r="I139" s="2" t="str">
        <f>IFERROR(VLOOKUP(HR_Employees[[#This Row],[Employee_ID]],'[1]Synthetic Exit Data'!$A$2:$E$235,4,0)," NA")</f>
        <v xml:space="preserve"> NA</v>
      </c>
      <c r="J139" t="s">
        <v>24</v>
      </c>
      <c r="K139">
        <v>4</v>
      </c>
      <c r="L139" s="3">
        <v>95892</v>
      </c>
      <c r="M139" t="s">
        <v>66</v>
      </c>
      <c r="N139" t="s">
        <v>26</v>
      </c>
      <c r="O139">
        <v>13.17</v>
      </c>
      <c r="P139" t="s">
        <v>125</v>
      </c>
      <c r="Q139" t="s">
        <v>86</v>
      </c>
      <c r="R139">
        <v>2013</v>
      </c>
      <c r="S139" t="str">
        <f>IF(AND(HR_Employees[[#This Row],[Attrition]]="YES",HR_Employees[[#This Row],[Exit_Date]]&lt;&gt;""),YEAR(HR_Employees[[#This Row],[Exit_Date]]),"")</f>
        <v/>
      </c>
    </row>
    <row r="140" spans="1:19">
      <c r="A140" t="s">
        <v>319</v>
      </c>
      <c r="B140" t="s">
        <v>320</v>
      </c>
      <c r="C140">
        <v>29</v>
      </c>
      <c r="D140" t="s">
        <v>31</v>
      </c>
      <c r="E140" t="s">
        <v>21</v>
      </c>
      <c r="F140" t="s">
        <v>151</v>
      </c>
      <c r="G140" t="s">
        <v>33</v>
      </c>
      <c r="H140" s="2">
        <v>46247</v>
      </c>
      <c r="I140" s="2" t="str">
        <f>IFERROR(VLOOKUP(HR_Employees[[#This Row],[Employee_ID]],'[1]Synthetic Exit Data'!$A$2:$E$235,4,0)," NA")</f>
        <v xml:space="preserve"> NA</v>
      </c>
      <c r="J140" t="s">
        <v>24</v>
      </c>
      <c r="K140">
        <v>5</v>
      </c>
      <c r="L140" s="3">
        <v>24273</v>
      </c>
      <c r="M140" t="s">
        <v>82</v>
      </c>
      <c r="N140" t="s">
        <v>43</v>
      </c>
      <c r="O140">
        <v>0.17</v>
      </c>
      <c r="P140" t="s">
        <v>83</v>
      </c>
      <c r="Q140" t="s">
        <v>86</v>
      </c>
      <c r="R140">
        <v>2026</v>
      </c>
      <c r="S140" t="str">
        <f>IF(AND(HR_Employees[[#This Row],[Attrition]]="YES",HR_Employees[[#This Row],[Exit_Date]]&lt;&gt;""),YEAR(HR_Employees[[#This Row],[Exit_Date]]),"")</f>
        <v/>
      </c>
    </row>
    <row r="141" spans="1:19">
      <c r="A141" t="s">
        <v>321</v>
      </c>
      <c r="B141" t="s">
        <v>138</v>
      </c>
      <c r="C141">
        <v>45</v>
      </c>
      <c r="D141" t="s">
        <v>61</v>
      </c>
      <c r="E141" t="s">
        <v>32</v>
      </c>
      <c r="F141" t="s">
        <v>22</v>
      </c>
      <c r="G141" t="s">
        <v>23</v>
      </c>
      <c r="H141" s="2">
        <v>46247</v>
      </c>
      <c r="I141" s="2" t="str">
        <f>IFERROR(VLOOKUP(HR_Employees[[#This Row],[Employee_ID]],'[1]Synthetic Exit Data'!$A$2:$E$235,4,0)," NA")</f>
        <v xml:space="preserve"> NA</v>
      </c>
      <c r="J141" t="s">
        <v>24</v>
      </c>
      <c r="K141">
        <v>3</v>
      </c>
      <c r="L141" s="3">
        <v>145913</v>
      </c>
      <c r="M141" t="s">
        <v>25</v>
      </c>
      <c r="N141" t="s">
        <v>43</v>
      </c>
      <c r="O141">
        <v>0.17</v>
      </c>
      <c r="P141" t="s">
        <v>35</v>
      </c>
      <c r="Q141" t="s">
        <v>86</v>
      </c>
      <c r="R141">
        <v>2026</v>
      </c>
      <c r="S141" t="str">
        <f>IF(AND(HR_Employees[[#This Row],[Attrition]]="YES",HR_Employees[[#This Row],[Exit_Date]]&lt;&gt;""),YEAR(HR_Employees[[#This Row],[Exit_Date]]),"")</f>
        <v/>
      </c>
    </row>
    <row r="142" spans="1:19">
      <c r="A142" t="s">
        <v>322</v>
      </c>
      <c r="B142" t="s">
        <v>323</v>
      </c>
      <c r="C142">
        <v>32</v>
      </c>
      <c r="D142" t="s">
        <v>31</v>
      </c>
      <c r="E142" t="s">
        <v>21</v>
      </c>
      <c r="F142" t="s">
        <v>22</v>
      </c>
      <c r="G142" t="s">
        <v>48</v>
      </c>
      <c r="H142" s="2">
        <v>46192</v>
      </c>
      <c r="I142" s="2" t="str">
        <f>IFERROR(VLOOKUP(HR_Employees[[#This Row],[Employee_ID]],'[1]Synthetic Exit Data'!$A$2:$E$235,4,0)," NA")</f>
        <v>2026-08-27</v>
      </c>
      <c r="J142" t="s">
        <v>49</v>
      </c>
      <c r="K142">
        <v>4</v>
      </c>
      <c r="L142" s="3">
        <v>31626</v>
      </c>
      <c r="M142" t="s">
        <v>42</v>
      </c>
      <c r="N142" t="s">
        <v>43</v>
      </c>
      <c r="O142">
        <v>0.25</v>
      </c>
      <c r="P142" t="s">
        <v>125</v>
      </c>
      <c r="Q142" t="s">
        <v>76</v>
      </c>
      <c r="R142">
        <v>2026</v>
      </c>
      <c r="S142">
        <f>IF(AND(HR_Employees[[#This Row],[Attrition]]="YES",HR_Employees[[#This Row],[Exit_Date]]&lt;&gt;""),YEAR(HR_Employees[[#This Row],[Exit_Date]]),"")</f>
        <v>2026</v>
      </c>
    </row>
    <row r="143" spans="1:19">
      <c r="A143" t="s">
        <v>324</v>
      </c>
      <c r="B143" t="s">
        <v>325</v>
      </c>
      <c r="C143">
        <v>33</v>
      </c>
      <c r="D143" t="s">
        <v>31</v>
      </c>
      <c r="E143" t="s">
        <v>21</v>
      </c>
      <c r="F143" t="s">
        <v>47</v>
      </c>
      <c r="G143" t="s">
        <v>23</v>
      </c>
      <c r="H143" s="2">
        <v>44360</v>
      </c>
      <c r="I143" s="2" t="str">
        <f>IFERROR(VLOOKUP(HR_Employees[[#This Row],[Employee_ID]],'[1]Synthetic Exit Data'!$A$2:$E$235,4,0)," NA")</f>
        <v xml:space="preserve"> NA</v>
      </c>
      <c r="J143" t="s">
        <v>24</v>
      </c>
      <c r="K143">
        <v>4</v>
      </c>
      <c r="L143" s="3">
        <v>21741</v>
      </c>
      <c r="M143" t="s">
        <v>82</v>
      </c>
      <c r="N143" t="s">
        <v>79</v>
      </c>
      <c r="O143">
        <v>5.33</v>
      </c>
      <c r="P143" t="s">
        <v>125</v>
      </c>
      <c r="Q143" t="s">
        <v>58</v>
      </c>
      <c r="R143">
        <v>2021</v>
      </c>
      <c r="S143" t="str">
        <f>IF(AND(HR_Employees[[#This Row],[Attrition]]="YES",HR_Employees[[#This Row],[Exit_Date]]&lt;&gt;""),YEAR(HR_Employees[[#This Row],[Exit_Date]]),"")</f>
        <v/>
      </c>
    </row>
    <row r="144" spans="1:19">
      <c r="A144" t="s">
        <v>326</v>
      </c>
      <c r="B144" t="s">
        <v>327</v>
      </c>
      <c r="C144">
        <v>44</v>
      </c>
      <c r="D144" t="s">
        <v>61</v>
      </c>
      <c r="E144" t="s">
        <v>32</v>
      </c>
      <c r="F144" t="s">
        <v>47</v>
      </c>
      <c r="G144" t="s">
        <v>48</v>
      </c>
      <c r="H144" s="2">
        <v>45456</v>
      </c>
      <c r="I144" s="2" t="str">
        <f>IFERROR(VLOOKUP(HR_Employees[[#This Row],[Employee_ID]],'[1]Synthetic Exit Data'!$A$2:$E$235,4,0)," NA")</f>
        <v xml:space="preserve"> NA</v>
      </c>
      <c r="J144" t="s">
        <v>24</v>
      </c>
      <c r="K144">
        <v>4</v>
      </c>
      <c r="L144" s="3">
        <v>64006</v>
      </c>
      <c r="M144" t="s">
        <v>34</v>
      </c>
      <c r="N144" t="s">
        <v>56</v>
      </c>
      <c r="O144">
        <v>2.33</v>
      </c>
      <c r="P144" t="s">
        <v>35</v>
      </c>
      <c r="Q144" t="s">
        <v>86</v>
      </c>
      <c r="R144">
        <v>2024</v>
      </c>
      <c r="S144" t="str">
        <f>IF(AND(HR_Employees[[#This Row],[Attrition]]="YES",HR_Employees[[#This Row],[Exit_Date]]&lt;&gt;""),YEAR(HR_Employees[[#This Row],[Exit_Date]]),"")</f>
        <v/>
      </c>
    </row>
    <row r="145" spans="1:19">
      <c r="A145" t="s">
        <v>328</v>
      </c>
      <c r="B145" t="s">
        <v>102</v>
      </c>
      <c r="C145">
        <v>21</v>
      </c>
      <c r="D145" t="s">
        <v>39</v>
      </c>
      <c r="E145" t="s">
        <v>21</v>
      </c>
      <c r="F145" t="s">
        <v>47</v>
      </c>
      <c r="G145" t="s">
        <v>23</v>
      </c>
      <c r="H145" s="2">
        <v>45395</v>
      </c>
      <c r="I145" s="2" t="str">
        <f>IFERROR(VLOOKUP(HR_Employees[[#This Row],[Employee_ID]],'[1]Synthetic Exit Data'!$A$2:$E$235,4,0)," NA")</f>
        <v xml:space="preserve"> NA</v>
      </c>
      <c r="J145" t="s">
        <v>24</v>
      </c>
      <c r="K145">
        <v>3</v>
      </c>
      <c r="L145" s="3">
        <v>22244</v>
      </c>
      <c r="M145" t="s">
        <v>82</v>
      </c>
      <c r="N145" t="s">
        <v>56</v>
      </c>
      <c r="O145">
        <v>2.5</v>
      </c>
      <c r="P145" t="s">
        <v>35</v>
      </c>
      <c r="Q145" t="s">
        <v>76</v>
      </c>
      <c r="R145">
        <v>2024</v>
      </c>
      <c r="S145" t="str">
        <f>IF(AND(HR_Employees[[#This Row],[Attrition]]="YES",HR_Employees[[#This Row],[Exit_Date]]&lt;&gt;""),YEAR(HR_Employees[[#This Row],[Exit_Date]]),"")</f>
        <v/>
      </c>
    </row>
    <row r="146" spans="1:19">
      <c r="A146" t="s">
        <v>329</v>
      </c>
      <c r="B146" t="s">
        <v>330</v>
      </c>
      <c r="C146">
        <v>44</v>
      </c>
      <c r="D146" t="s">
        <v>61</v>
      </c>
      <c r="E146" t="s">
        <v>21</v>
      </c>
      <c r="F146" t="s">
        <v>22</v>
      </c>
      <c r="G146" t="s">
        <v>23</v>
      </c>
      <c r="H146" s="2">
        <v>45092</v>
      </c>
      <c r="I146" s="2" t="str">
        <f>IFERROR(VLOOKUP(HR_Employees[[#This Row],[Employee_ID]],'[1]Synthetic Exit Data'!$A$2:$E$235,4,0)," NA")</f>
        <v>2023-10-03</v>
      </c>
      <c r="J146" t="s">
        <v>49</v>
      </c>
      <c r="K146">
        <v>3</v>
      </c>
      <c r="L146" s="3">
        <v>28498</v>
      </c>
      <c r="M146" t="s">
        <v>82</v>
      </c>
      <c r="N146" t="s">
        <v>50</v>
      </c>
      <c r="O146">
        <v>3.25</v>
      </c>
      <c r="P146" t="s">
        <v>27</v>
      </c>
      <c r="Q146" t="s">
        <v>28</v>
      </c>
      <c r="R146">
        <v>2023</v>
      </c>
      <c r="S146">
        <f>IF(AND(HR_Employees[[#This Row],[Attrition]]="YES",HR_Employees[[#This Row],[Exit_Date]]&lt;&gt;""),YEAR(HR_Employees[[#This Row],[Exit_Date]]),"")</f>
        <v>2023</v>
      </c>
    </row>
    <row r="147" spans="1:19">
      <c r="A147" t="s">
        <v>331</v>
      </c>
      <c r="B147" t="s">
        <v>332</v>
      </c>
      <c r="C147">
        <v>28</v>
      </c>
      <c r="D147" t="s">
        <v>31</v>
      </c>
      <c r="E147" t="s">
        <v>32</v>
      </c>
      <c r="F147" t="s">
        <v>55</v>
      </c>
      <c r="G147" t="s">
        <v>48</v>
      </c>
      <c r="H147" s="2">
        <v>46094</v>
      </c>
      <c r="I147" s="2" t="str">
        <f>IFERROR(VLOOKUP(HR_Employees[[#This Row],[Employee_ID]],'[1]Synthetic Exit Data'!$A$2:$E$235,4,0)," NA")</f>
        <v xml:space="preserve"> NA</v>
      </c>
      <c r="J147" t="s">
        <v>24</v>
      </c>
      <c r="K147">
        <v>3</v>
      </c>
      <c r="L147" s="3">
        <v>46160</v>
      </c>
      <c r="M147" t="s">
        <v>42</v>
      </c>
      <c r="N147" t="s">
        <v>43</v>
      </c>
      <c r="O147">
        <v>0.57999999999999996</v>
      </c>
      <c r="P147" t="s">
        <v>35</v>
      </c>
      <c r="Q147" t="s">
        <v>28</v>
      </c>
      <c r="R147">
        <v>2026</v>
      </c>
      <c r="S147" t="str">
        <f>IF(AND(HR_Employees[[#This Row],[Attrition]]="YES",HR_Employees[[#This Row],[Exit_Date]]&lt;&gt;""),YEAR(HR_Employees[[#This Row],[Exit_Date]]),"")</f>
        <v/>
      </c>
    </row>
    <row r="148" spans="1:19">
      <c r="A148" t="s">
        <v>333</v>
      </c>
      <c r="B148" t="s">
        <v>334</v>
      </c>
      <c r="C148">
        <v>27</v>
      </c>
      <c r="D148" t="s">
        <v>31</v>
      </c>
      <c r="E148" t="s">
        <v>32</v>
      </c>
      <c r="F148" t="s">
        <v>40</v>
      </c>
      <c r="G148" t="s">
        <v>48</v>
      </c>
      <c r="H148" s="2">
        <v>43348</v>
      </c>
      <c r="I148" s="2" t="str">
        <f>IFERROR(VLOOKUP(HR_Employees[[#This Row],[Employee_ID]],'[1]Synthetic Exit Data'!$A$2:$E$235,4,0)," NA")</f>
        <v>2019-12-15</v>
      </c>
      <c r="J148" t="s">
        <v>49</v>
      </c>
      <c r="K148">
        <v>3</v>
      </c>
      <c r="L148" s="3">
        <v>28734</v>
      </c>
      <c r="M148" t="s">
        <v>82</v>
      </c>
      <c r="N148" t="s">
        <v>79</v>
      </c>
      <c r="O148">
        <v>8.08</v>
      </c>
      <c r="P148" t="s">
        <v>27</v>
      </c>
      <c r="Q148" t="s">
        <v>76</v>
      </c>
      <c r="R148">
        <v>2018</v>
      </c>
      <c r="S148">
        <f>IF(AND(HR_Employees[[#This Row],[Attrition]]="YES",HR_Employees[[#This Row],[Exit_Date]]&lt;&gt;""),YEAR(HR_Employees[[#This Row],[Exit_Date]]),"")</f>
        <v>2019</v>
      </c>
    </row>
    <row r="149" spans="1:19">
      <c r="A149" t="s">
        <v>335</v>
      </c>
      <c r="B149" t="s">
        <v>336</v>
      </c>
      <c r="C149">
        <v>22</v>
      </c>
      <c r="D149" t="s">
        <v>39</v>
      </c>
      <c r="E149" t="s">
        <v>21</v>
      </c>
      <c r="F149" t="s">
        <v>109</v>
      </c>
      <c r="G149" t="s">
        <v>33</v>
      </c>
      <c r="H149" s="2">
        <v>41407</v>
      </c>
      <c r="I149" s="2" t="str">
        <f>IFERROR(VLOOKUP(HR_Employees[[#This Row],[Employee_ID]],'[1]Synthetic Exit Data'!$A$2:$E$235,4,0)," NA")</f>
        <v xml:space="preserve"> NA</v>
      </c>
      <c r="J149" t="s">
        <v>24</v>
      </c>
      <c r="K149">
        <v>4</v>
      </c>
      <c r="L149" s="3">
        <v>74719</v>
      </c>
      <c r="M149" t="s">
        <v>34</v>
      </c>
      <c r="N149" t="s">
        <v>26</v>
      </c>
      <c r="O149">
        <v>13.42</v>
      </c>
      <c r="P149" t="s">
        <v>57</v>
      </c>
      <c r="Q149" t="s">
        <v>36</v>
      </c>
      <c r="R149">
        <v>2013</v>
      </c>
      <c r="S149" t="str">
        <f>IF(AND(HR_Employees[[#This Row],[Attrition]]="YES",HR_Employees[[#This Row],[Exit_Date]]&lt;&gt;""),YEAR(HR_Employees[[#This Row],[Exit_Date]]),"")</f>
        <v/>
      </c>
    </row>
    <row r="150" spans="1:19">
      <c r="A150" t="s">
        <v>337</v>
      </c>
      <c r="B150" t="s">
        <v>338</v>
      </c>
      <c r="C150">
        <v>32</v>
      </c>
      <c r="D150" t="s">
        <v>31</v>
      </c>
      <c r="E150" t="s">
        <v>32</v>
      </c>
      <c r="F150" t="s">
        <v>47</v>
      </c>
      <c r="G150" t="s">
        <v>23</v>
      </c>
      <c r="H150" s="2">
        <v>43964</v>
      </c>
      <c r="I150" s="2" t="str">
        <f>IFERROR(VLOOKUP(HR_Employees[[#This Row],[Employee_ID]],'[1]Synthetic Exit Data'!$A$2:$E$235,4,0)," NA")</f>
        <v xml:space="preserve"> NA</v>
      </c>
      <c r="J150" t="s">
        <v>24</v>
      </c>
      <c r="K150">
        <v>3</v>
      </c>
      <c r="L150" s="3">
        <v>56132</v>
      </c>
      <c r="M150" t="s">
        <v>34</v>
      </c>
      <c r="N150" t="s">
        <v>79</v>
      </c>
      <c r="O150">
        <v>6.42</v>
      </c>
      <c r="P150" t="s">
        <v>27</v>
      </c>
      <c r="Q150" t="s">
        <v>44</v>
      </c>
      <c r="R150">
        <v>2020</v>
      </c>
      <c r="S150" t="str">
        <f>IF(AND(HR_Employees[[#This Row],[Attrition]]="YES",HR_Employees[[#This Row],[Exit_Date]]&lt;&gt;""),YEAR(HR_Employees[[#This Row],[Exit_Date]]),"")</f>
        <v/>
      </c>
    </row>
    <row r="151" spans="1:19">
      <c r="A151" t="s">
        <v>339</v>
      </c>
      <c r="B151" t="s">
        <v>340</v>
      </c>
      <c r="C151">
        <v>26</v>
      </c>
      <c r="D151" t="s">
        <v>31</v>
      </c>
      <c r="E151" t="s">
        <v>32</v>
      </c>
      <c r="F151" t="s">
        <v>47</v>
      </c>
      <c r="G151" t="s">
        <v>23</v>
      </c>
      <c r="H151" s="2">
        <v>46278</v>
      </c>
      <c r="I151" s="2" t="str">
        <f>IFERROR(VLOOKUP(HR_Employees[[#This Row],[Employee_ID]],'[1]Synthetic Exit Data'!$A$2:$E$235,4,0)," NA")</f>
        <v xml:space="preserve"> NA</v>
      </c>
      <c r="J151" t="s">
        <v>24</v>
      </c>
      <c r="K151">
        <v>1</v>
      </c>
      <c r="L151" s="3">
        <v>58472</v>
      </c>
      <c r="M151" t="s">
        <v>34</v>
      </c>
      <c r="N151" t="s">
        <v>43</v>
      </c>
      <c r="O151">
        <v>0.08</v>
      </c>
      <c r="P151" t="s">
        <v>27</v>
      </c>
      <c r="Q151" t="s">
        <v>36</v>
      </c>
      <c r="R151">
        <v>2026</v>
      </c>
      <c r="S151" t="str">
        <f>IF(AND(HR_Employees[[#This Row],[Attrition]]="YES",HR_Employees[[#This Row],[Exit_Date]]&lt;&gt;""),YEAR(HR_Employees[[#This Row],[Exit_Date]]),"")</f>
        <v/>
      </c>
    </row>
    <row r="152" spans="1:19">
      <c r="A152" t="s">
        <v>341</v>
      </c>
      <c r="B152" t="s">
        <v>342</v>
      </c>
      <c r="C152">
        <v>40</v>
      </c>
      <c r="D152" t="s">
        <v>61</v>
      </c>
      <c r="E152" t="s">
        <v>32</v>
      </c>
      <c r="F152" t="s">
        <v>151</v>
      </c>
      <c r="G152" t="s">
        <v>33</v>
      </c>
      <c r="H152" s="2">
        <v>44268</v>
      </c>
      <c r="I152" s="2" t="str">
        <f>IFERROR(VLOOKUP(HR_Employees[[#This Row],[Employee_ID]],'[1]Synthetic Exit Data'!$A$2:$E$235,4,0)," NA")</f>
        <v xml:space="preserve"> NA</v>
      </c>
      <c r="J152" t="s">
        <v>24</v>
      </c>
      <c r="K152">
        <v>4</v>
      </c>
      <c r="L152" s="3">
        <v>75419</v>
      </c>
      <c r="M152" t="s">
        <v>66</v>
      </c>
      <c r="N152" t="s">
        <v>79</v>
      </c>
      <c r="O152">
        <v>5.58</v>
      </c>
      <c r="P152" t="s">
        <v>51</v>
      </c>
      <c r="Q152" t="s">
        <v>62</v>
      </c>
      <c r="R152">
        <v>2021</v>
      </c>
      <c r="S152" t="str">
        <f>IF(AND(HR_Employees[[#This Row],[Attrition]]="YES",HR_Employees[[#This Row],[Exit_Date]]&lt;&gt;""),YEAR(HR_Employees[[#This Row],[Exit_Date]]),"")</f>
        <v/>
      </c>
    </row>
    <row r="153" spans="1:19">
      <c r="A153" t="s">
        <v>343</v>
      </c>
      <c r="B153" t="s">
        <v>344</v>
      </c>
      <c r="C153">
        <v>33</v>
      </c>
      <c r="D153" t="s">
        <v>31</v>
      </c>
      <c r="E153" t="s">
        <v>32</v>
      </c>
      <c r="F153" t="s">
        <v>47</v>
      </c>
      <c r="G153" t="s">
        <v>41</v>
      </c>
      <c r="H153" s="2">
        <v>46155</v>
      </c>
      <c r="I153" s="2" t="str">
        <f>IFERROR(VLOOKUP(HR_Employees[[#This Row],[Employee_ID]],'[1]Synthetic Exit Data'!$A$2:$E$235,4,0)," NA")</f>
        <v xml:space="preserve"> NA</v>
      </c>
      <c r="J153" t="s">
        <v>24</v>
      </c>
      <c r="K153">
        <v>4</v>
      </c>
      <c r="L153" s="3">
        <v>87316</v>
      </c>
      <c r="M153" t="s">
        <v>66</v>
      </c>
      <c r="N153" t="s">
        <v>43</v>
      </c>
      <c r="O153">
        <v>0.42</v>
      </c>
      <c r="P153" t="s">
        <v>35</v>
      </c>
      <c r="Q153" t="s">
        <v>92</v>
      </c>
      <c r="R153">
        <v>2026</v>
      </c>
      <c r="S153" t="str">
        <f>IF(AND(HR_Employees[[#This Row],[Attrition]]="YES",HR_Employees[[#This Row],[Exit_Date]]&lt;&gt;""),YEAR(HR_Employees[[#This Row],[Exit_Date]]),"")</f>
        <v/>
      </c>
    </row>
    <row r="154" spans="1:19">
      <c r="A154" t="s">
        <v>345</v>
      </c>
      <c r="B154" t="s">
        <v>346</v>
      </c>
      <c r="C154">
        <v>31</v>
      </c>
      <c r="D154" t="s">
        <v>31</v>
      </c>
      <c r="E154" t="s">
        <v>21</v>
      </c>
      <c r="F154" t="s">
        <v>22</v>
      </c>
      <c r="G154" t="s">
        <v>23</v>
      </c>
      <c r="H154" s="2">
        <v>41042</v>
      </c>
      <c r="I154" s="2" t="str">
        <f>IFERROR(VLOOKUP(HR_Employees[[#This Row],[Employee_ID]],'[1]Synthetic Exit Data'!$A$2:$E$235,4,0)," NA")</f>
        <v xml:space="preserve"> NA</v>
      </c>
      <c r="J154" t="s">
        <v>24</v>
      </c>
      <c r="K154">
        <v>4</v>
      </c>
      <c r="L154" s="3">
        <v>98909</v>
      </c>
      <c r="M154" t="s">
        <v>66</v>
      </c>
      <c r="N154" t="s">
        <v>26</v>
      </c>
      <c r="O154">
        <v>14.42</v>
      </c>
      <c r="P154" t="s">
        <v>57</v>
      </c>
      <c r="Q154" t="s">
        <v>44</v>
      </c>
      <c r="R154">
        <v>2012</v>
      </c>
      <c r="S154" t="str">
        <f>IF(AND(HR_Employees[[#This Row],[Attrition]]="YES",HR_Employees[[#This Row],[Exit_Date]]&lt;&gt;""),YEAR(HR_Employees[[#This Row],[Exit_Date]]),"")</f>
        <v/>
      </c>
    </row>
    <row r="155" spans="1:19">
      <c r="A155" t="s">
        <v>347</v>
      </c>
      <c r="B155" t="s">
        <v>348</v>
      </c>
      <c r="C155">
        <v>30</v>
      </c>
      <c r="D155" t="s">
        <v>31</v>
      </c>
      <c r="E155" t="s">
        <v>21</v>
      </c>
      <c r="F155" t="s">
        <v>65</v>
      </c>
      <c r="G155" t="s">
        <v>23</v>
      </c>
      <c r="H155" s="2">
        <v>42442</v>
      </c>
      <c r="I155" s="2" t="str">
        <f>IFERROR(VLOOKUP(HR_Employees[[#This Row],[Employee_ID]],'[1]Synthetic Exit Data'!$A$2:$E$235,4,0)," NA")</f>
        <v xml:space="preserve"> NA</v>
      </c>
      <c r="J155" t="s">
        <v>24</v>
      </c>
      <c r="K155">
        <v>2</v>
      </c>
      <c r="L155" s="3">
        <v>116465</v>
      </c>
      <c r="M155" t="s">
        <v>25</v>
      </c>
      <c r="N155" t="s">
        <v>26</v>
      </c>
      <c r="O155">
        <v>10.58</v>
      </c>
      <c r="P155" t="s">
        <v>35</v>
      </c>
      <c r="Q155" t="s">
        <v>28</v>
      </c>
      <c r="R155">
        <v>2016</v>
      </c>
      <c r="S155" t="str">
        <f>IF(AND(HR_Employees[[#This Row],[Attrition]]="YES",HR_Employees[[#This Row],[Exit_Date]]&lt;&gt;""),YEAR(HR_Employees[[#This Row],[Exit_Date]]),"")</f>
        <v/>
      </c>
    </row>
    <row r="156" spans="1:19">
      <c r="A156" t="s">
        <v>349</v>
      </c>
      <c r="B156" t="s">
        <v>350</v>
      </c>
      <c r="C156">
        <v>34</v>
      </c>
      <c r="D156" t="s">
        <v>31</v>
      </c>
      <c r="E156" t="s">
        <v>32</v>
      </c>
      <c r="F156" t="s">
        <v>151</v>
      </c>
      <c r="G156" t="s">
        <v>41</v>
      </c>
      <c r="H156" s="2">
        <v>44299</v>
      </c>
      <c r="I156" s="2" t="str">
        <f>IFERROR(VLOOKUP(HR_Employees[[#This Row],[Employee_ID]],'[1]Synthetic Exit Data'!$A$2:$E$235,4,0)," NA")</f>
        <v xml:space="preserve"> NA</v>
      </c>
      <c r="J156" t="s">
        <v>24</v>
      </c>
      <c r="K156">
        <v>3</v>
      </c>
      <c r="L156" s="3">
        <v>49642</v>
      </c>
      <c r="M156" t="s">
        <v>42</v>
      </c>
      <c r="N156" t="s">
        <v>79</v>
      </c>
      <c r="O156">
        <v>5.5</v>
      </c>
      <c r="P156" t="s">
        <v>51</v>
      </c>
      <c r="Q156" t="s">
        <v>44</v>
      </c>
      <c r="R156">
        <v>2021</v>
      </c>
      <c r="S156" t="str">
        <f>IF(AND(HR_Employees[[#This Row],[Attrition]]="YES",HR_Employees[[#This Row],[Exit_Date]]&lt;&gt;""),YEAR(HR_Employees[[#This Row],[Exit_Date]]),"")</f>
        <v/>
      </c>
    </row>
    <row r="157" spans="1:19">
      <c r="A157" t="s">
        <v>351</v>
      </c>
      <c r="B157" t="s">
        <v>352</v>
      </c>
      <c r="C157">
        <v>24</v>
      </c>
      <c r="D157" t="s">
        <v>39</v>
      </c>
      <c r="E157" t="s">
        <v>32</v>
      </c>
      <c r="F157" t="s">
        <v>65</v>
      </c>
      <c r="G157" t="s">
        <v>33</v>
      </c>
      <c r="H157" s="2">
        <v>42260</v>
      </c>
      <c r="I157" s="2" t="str">
        <f>IFERROR(VLOOKUP(HR_Employees[[#This Row],[Employee_ID]],'[1]Synthetic Exit Data'!$A$2:$E$235,4,0)," NA")</f>
        <v xml:space="preserve"> NA</v>
      </c>
      <c r="J157" t="s">
        <v>24</v>
      </c>
      <c r="K157">
        <v>4</v>
      </c>
      <c r="L157" s="3">
        <v>130836</v>
      </c>
      <c r="M157" t="s">
        <v>25</v>
      </c>
      <c r="N157" t="s">
        <v>26</v>
      </c>
      <c r="O157">
        <v>11.08</v>
      </c>
      <c r="P157" t="s">
        <v>27</v>
      </c>
      <c r="Q157" t="s">
        <v>58</v>
      </c>
      <c r="R157">
        <v>2015</v>
      </c>
      <c r="S157" t="str">
        <f>IF(AND(HR_Employees[[#This Row],[Attrition]]="YES",HR_Employees[[#This Row],[Exit_Date]]&lt;&gt;""),YEAR(HR_Employees[[#This Row],[Exit_Date]]),"")</f>
        <v/>
      </c>
    </row>
    <row r="158" spans="1:19">
      <c r="A158" t="s">
        <v>353</v>
      </c>
      <c r="B158" t="s">
        <v>269</v>
      </c>
      <c r="C158">
        <v>36</v>
      </c>
      <c r="D158" t="s">
        <v>61</v>
      </c>
      <c r="E158" t="s">
        <v>32</v>
      </c>
      <c r="F158" t="s">
        <v>40</v>
      </c>
      <c r="G158" t="s">
        <v>23</v>
      </c>
      <c r="H158" s="2">
        <v>42192</v>
      </c>
      <c r="I158" s="2" t="str">
        <f>IFERROR(VLOOKUP(HR_Employees[[#This Row],[Employee_ID]],'[1]Synthetic Exit Data'!$A$2:$E$235,4,0)," NA")</f>
        <v>2018-06-08</v>
      </c>
      <c r="J158" t="s">
        <v>49</v>
      </c>
      <c r="K158">
        <v>3</v>
      </c>
      <c r="L158" s="3">
        <v>38112</v>
      </c>
      <c r="M158" t="s">
        <v>42</v>
      </c>
      <c r="N158" t="s">
        <v>26</v>
      </c>
      <c r="O158">
        <v>11.17</v>
      </c>
      <c r="P158" t="s">
        <v>125</v>
      </c>
      <c r="Q158" t="s">
        <v>28</v>
      </c>
      <c r="R158">
        <v>2015</v>
      </c>
      <c r="S158">
        <f>IF(AND(HR_Employees[[#This Row],[Attrition]]="YES",HR_Employees[[#This Row],[Exit_Date]]&lt;&gt;""),YEAR(HR_Employees[[#This Row],[Exit_Date]]),"")</f>
        <v>2018</v>
      </c>
    </row>
    <row r="159" spans="1:19">
      <c r="A159" t="s">
        <v>354</v>
      </c>
      <c r="B159" t="s">
        <v>355</v>
      </c>
      <c r="C159">
        <v>41</v>
      </c>
      <c r="D159" t="s">
        <v>61</v>
      </c>
      <c r="E159" t="s">
        <v>21</v>
      </c>
      <c r="F159" t="s">
        <v>40</v>
      </c>
      <c r="G159" t="s">
        <v>33</v>
      </c>
      <c r="H159" s="2">
        <v>41530</v>
      </c>
      <c r="I159" s="2" t="str">
        <f>IFERROR(VLOOKUP(HR_Employees[[#This Row],[Employee_ID]],'[1]Synthetic Exit Data'!$A$2:$E$235,4,0)," NA")</f>
        <v xml:space="preserve"> NA</v>
      </c>
      <c r="J159" t="s">
        <v>24</v>
      </c>
      <c r="K159">
        <v>4</v>
      </c>
      <c r="L159" s="3">
        <v>21384</v>
      </c>
      <c r="M159" t="s">
        <v>82</v>
      </c>
      <c r="N159" t="s">
        <v>26</v>
      </c>
      <c r="O159">
        <v>13.08</v>
      </c>
      <c r="P159" t="s">
        <v>27</v>
      </c>
      <c r="Q159" t="s">
        <v>28</v>
      </c>
      <c r="R159">
        <v>2013</v>
      </c>
      <c r="S159" t="str">
        <f>IF(AND(HR_Employees[[#This Row],[Attrition]]="YES",HR_Employees[[#This Row],[Exit_Date]]&lt;&gt;""),YEAR(HR_Employees[[#This Row],[Exit_Date]]),"")</f>
        <v/>
      </c>
    </row>
    <row r="160" spans="1:19">
      <c r="A160" t="s">
        <v>356</v>
      </c>
      <c r="B160" t="s">
        <v>155</v>
      </c>
      <c r="C160">
        <v>28</v>
      </c>
      <c r="D160" t="s">
        <v>31</v>
      </c>
      <c r="E160" t="s">
        <v>32</v>
      </c>
      <c r="F160" t="s">
        <v>40</v>
      </c>
      <c r="G160" t="s">
        <v>23</v>
      </c>
      <c r="H160" s="2">
        <v>43142</v>
      </c>
      <c r="I160" s="2" t="str">
        <f>IFERROR(VLOOKUP(HR_Employees[[#This Row],[Employee_ID]],'[1]Synthetic Exit Data'!$A$2:$E$235,4,0)," NA")</f>
        <v>2020-11-05</v>
      </c>
      <c r="J160" t="s">
        <v>49</v>
      </c>
      <c r="K160">
        <v>4</v>
      </c>
      <c r="L160" s="3">
        <v>25728</v>
      </c>
      <c r="M160" t="s">
        <v>82</v>
      </c>
      <c r="N160" t="s">
        <v>79</v>
      </c>
      <c r="O160">
        <v>8.58</v>
      </c>
      <c r="P160" t="s">
        <v>51</v>
      </c>
      <c r="Q160" t="s">
        <v>44</v>
      </c>
      <c r="R160">
        <v>2018</v>
      </c>
      <c r="S160">
        <f>IF(AND(HR_Employees[[#This Row],[Attrition]]="YES",HR_Employees[[#This Row],[Exit_Date]]&lt;&gt;""),YEAR(HR_Employees[[#This Row],[Exit_Date]]),"")</f>
        <v>2020</v>
      </c>
    </row>
    <row r="161" spans="1:19">
      <c r="A161" t="s">
        <v>357</v>
      </c>
      <c r="B161" t="s">
        <v>358</v>
      </c>
      <c r="C161">
        <v>25</v>
      </c>
      <c r="D161" t="s">
        <v>39</v>
      </c>
      <c r="E161" t="s">
        <v>32</v>
      </c>
      <c r="F161" t="s">
        <v>73</v>
      </c>
      <c r="G161" t="s">
        <v>48</v>
      </c>
      <c r="H161" s="2">
        <v>45943</v>
      </c>
      <c r="I161" s="2" t="str">
        <f>IFERROR(VLOOKUP(HR_Employees[[#This Row],[Employee_ID]],'[1]Synthetic Exit Data'!$A$2:$E$235,4,0)," NA")</f>
        <v xml:space="preserve"> NA</v>
      </c>
      <c r="J161" t="s">
        <v>24</v>
      </c>
      <c r="K161">
        <v>3</v>
      </c>
      <c r="L161" s="3">
        <v>98748</v>
      </c>
      <c r="M161" t="s">
        <v>66</v>
      </c>
      <c r="N161" t="s">
        <v>43</v>
      </c>
      <c r="O161">
        <v>1</v>
      </c>
      <c r="P161" t="s">
        <v>27</v>
      </c>
      <c r="Q161" t="s">
        <v>76</v>
      </c>
      <c r="R161">
        <v>2025</v>
      </c>
      <c r="S161" t="str">
        <f>IF(AND(HR_Employees[[#This Row],[Attrition]]="YES",HR_Employees[[#This Row],[Exit_Date]]&lt;&gt;""),YEAR(HR_Employees[[#This Row],[Exit_Date]]),"")</f>
        <v/>
      </c>
    </row>
    <row r="162" spans="1:19">
      <c r="A162" t="s">
        <v>359</v>
      </c>
      <c r="B162" t="s">
        <v>247</v>
      </c>
      <c r="C162">
        <v>32</v>
      </c>
      <c r="D162" t="s">
        <v>31</v>
      </c>
      <c r="E162" t="s">
        <v>21</v>
      </c>
      <c r="F162" t="s">
        <v>47</v>
      </c>
      <c r="G162" t="s">
        <v>23</v>
      </c>
      <c r="H162" s="2">
        <v>45059</v>
      </c>
      <c r="I162" s="2" t="str">
        <f>IFERROR(VLOOKUP(HR_Employees[[#This Row],[Employee_ID]],'[1]Synthetic Exit Data'!$A$2:$E$235,4,0)," NA")</f>
        <v xml:space="preserve"> NA</v>
      </c>
      <c r="J162" t="s">
        <v>24</v>
      </c>
      <c r="K162">
        <v>4</v>
      </c>
      <c r="L162" s="3">
        <v>28574</v>
      </c>
      <c r="M162" t="s">
        <v>82</v>
      </c>
      <c r="N162" t="s">
        <v>50</v>
      </c>
      <c r="O162">
        <v>3.42</v>
      </c>
      <c r="P162" t="s">
        <v>35</v>
      </c>
      <c r="Q162" t="s">
        <v>44</v>
      </c>
      <c r="R162">
        <v>2023</v>
      </c>
      <c r="S162" t="str">
        <f>IF(AND(HR_Employees[[#This Row],[Attrition]]="YES",HR_Employees[[#This Row],[Exit_Date]]&lt;&gt;""),YEAR(HR_Employees[[#This Row],[Exit_Date]]),"")</f>
        <v/>
      </c>
    </row>
    <row r="163" spans="1:19">
      <c r="A163" t="s">
        <v>360</v>
      </c>
      <c r="B163" t="s">
        <v>361</v>
      </c>
      <c r="C163">
        <v>55</v>
      </c>
      <c r="D163" t="s">
        <v>20</v>
      </c>
      <c r="E163" t="s">
        <v>21</v>
      </c>
      <c r="F163" t="s">
        <v>47</v>
      </c>
      <c r="G163" t="s">
        <v>48</v>
      </c>
      <c r="H163" s="2">
        <v>42991</v>
      </c>
      <c r="I163" s="2" t="str">
        <f>IFERROR(VLOOKUP(HR_Employees[[#This Row],[Employee_ID]],'[1]Synthetic Exit Data'!$A$2:$E$235,4,0)," NA")</f>
        <v xml:space="preserve"> NA</v>
      </c>
      <c r="J163" t="s">
        <v>24</v>
      </c>
      <c r="K163">
        <v>2</v>
      </c>
      <c r="L163" s="3">
        <v>109088</v>
      </c>
      <c r="M163" t="s">
        <v>25</v>
      </c>
      <c r="N163" t="s">
        <v>79</v>
      </c>
      <c r="O163">
        <v>9.08</v>
      </c>
      <c r="P163" t="s">
        <v>35</v>
      </c>
      <c r="Q163" t="s">
        <v>28</v>
      </c>
      <c r="R163">
        <v>2017</v>
      </c>
      <c r="S163" t="str">
        <f>IF(AND(HR_Employees[[#This Row],[Attrition]]="YES",HR_Employees[[#This Row],[Exit_Date]]&lt;&gt;""),YEAR(HR_Employees[[#This Row],[Exit_Date]]),"")</f>
        <v/>
      </c>
    </row>
    <row r="164" spans="1:19">
      <c r="A164" t="s">
        <v>362</v>
      </c>
      <c r="B164" t="s">
        <v>273</v>
      </c>
      <c r="C164">
        <v>29</v>
      </c>
      <c r="D164" t="s">
        <v>31</v>
      </c>
      <c r="E164" t="s">
        <v>21</v>
      </c>
      <c r="F164" t="s">
        <v>47</v>
      </c>
      <c r="G164" t="s">
        <v>23</v>
      </c>
      <c r="H164" s="2">
        <v>45943</v>
      </c>
      <c r="I164" s="2" t="str">
        <f>IFERROR(VLOOKUP(HR_Employees[[#This Row],[Employee_ID]],'[1]Synthetic Exit Data'!$A$2:$E$235,4,0)," NA")</f>
        <v xml:space="preserve"> NA</v>
      </c>
      <c r="J164" t="s">
        <v>24</v>
      </c>
      <c r="K164">
        <v>3</v>
      </c>
      <c r="L164" s="3">
        <v>19646</v>
      </c>
      <c r="M164" t="s">
        <v>82</v>
      </c>
      <c r="N164" t="s">
        <v>43</v>
      </c>
      <c r="O164">
        <v>1</v>
      </c>
      <c r="P164" t="s">
        <v>57</v>
      </c>
      <c r="Q164" t="s">
        <v>86</v>
      </c>
      <c r="R164">
        <v>2025</v>
      </c>
      <c r="S164" t="str">
        <f>IF(AND(HR_Employees[[#This Row],[Attrition]]="YES",HR_Employees[[#This Row],[Exit_Date]]&lt;&gt;""),YEAR(HR_Employees[[#This Row],[Exit_Date]]),"")</f>
        <v/>
      </c>
    </row>
    <row r="165" spans="1:19">
      <c r="A165" t="s">
        <v>363</v>
      </c>
      <c r="B165" t="s">
        <v>364</v>
      </c>
      <c r="C165">
        <v>53</v>
      </c>
      <c r="D165" t="s">
        <v>20</v>
      </c>
      <c r="E165" t="s">
        <v>21</v>
      </c>
      <c r="F165" t="s">
        <v>47</v>
      </c>
      <c r="G165" t="s">
        <v>23</v>
      </c>
      <c r="H165" s="2">
        <v>46035</v>
      </c>
      <c r="I165" s="2" t="str">
        <f>IFERROR(VLOOKUP(HR_Employees[[#This Row],[Employee_ID]],'[1]Synthetic Exit Data'!$A$2:$E$235,4,0)," NA")</f>
        <v xml:space="preserve"> NA</v>
      </c>
      <c r="J165" t="s">
        <v>24</v>
      </c>
      <c r="K165">
        <v>5</v>
      </c>
      <c r="L165" s="3">
        <v>151307</v>
      </c>
      <c r="M165" t="s">
        <v>25</v>
      </c>
      <c r="N165" t="s">
        <v>43</v>
      </c>
      <c r="O165">
        <v>0.75</v>
      </c>
      <c r="P165" t="s">
        <v>27</v>
      </c>
      <c r="Q165" t="s">
        <v>76</v>
      </c>
      <c r="R165">
        <v>2026</v>
      </c>
      <c r="S165" t="str">
        <f>IF(AND(HR_Employees[[#This Row],[Attrition]]="YES",HR_Employees[[#This Row],[Exit_Date]]&lt;&gt;""),YEAR(HR_Employees[[#This Row],[Exit_Date]]),"")</f>
        <v/>
      </c>
    </row>
    <row r="166" spans="1:19">
      <c r="A166" t="s">
        <v>365</v>
      </c>
      <c r="B166" t="s">
        <v>366</v>
      </c>
      <c r="C166">
        <v>32</v>
      </c>
      <c r="D166" t="s">
        <v>31</v>
      </c>
      <c r="E166" t="s">
        <v>32</v>
      </c>
      <c r="F166" t="s">
        <v>73</v>
      </c>
      <c r="G166" t="s">
        <v>23</v>
      </c>
      <c r="H166" s="2">
        <v>44075</v>
      </c>
      <c r="I166" s="2" t="str">
        <f>IFERROR(VLOOKUP(HR_Employees[[#This Row],[Employee_ID]],'[1]Synthetic Exit Data'!$A$2:$E$235,4,0)," NA")</f>
        <v>2022-05-19</v>
      </c>
      <c r="J166" t="s">
        <v>49</v>
      </c>
      <c r="K166">
        <v>3</v>
      </c>
      <c r="L166" s="3">
        <v>68037</v>
      </c>
      <c r="M166" t="s">
        <v>34</v>
      </c>
      <c r="N166" t="s">
        <v>79</v>
      </c>
      <c r="O166">
        <v>6.08</v>
      </c>
      <c r="P166" t="s">
        <v>27</v>
      </c>
      <c r="Q166" t="s">
        <v>76</v>
      </c>
      <c r="R166">
        <v>2020</v>
      </c>
      <c r="S166">
        <f>IF(AND(HR_Employees[[#This Row],[Attrition]]="YES",HR_Employees[[#This Row],[Exit_Date]]&lt;&gt;""),YEAR(HR_Employees[[#This Row],[Exit_Date]]),"")</f>
        <v>2022</v>
      </c>
    </row>
    <row r="167" spans="1:19">
      <c r="A167" t="s">
        <v>367</v>
      </c>
      <c r="B167" t="s">
        <v>368</v>
      </c>
      <c r="C167">
        <v>26</v>
      </c>
      <c r="D167" t="s">
        <v>31</v>
      </c>
      <c r="E167" t="s">
        <v>32</v>
      </c>
      <c r="F167" t="s">
        <v>40</v>
      </c>
      <c r="G167" t="s">
        <v>23</v>
      </c>
      <c r="H167" s="2">
        <v>45701</v>
      </c>
      <c r="I167" s="2" t="str">
        <f>IFERROR(VLOOKUP(HR_Employees[[#This Row],[Employee_ID]],'[1]Synthetic Exit Data'!$A$2:$E$235,4,0)," NA")</f>
        <v xml:space="preserve"> NA</v>
      </c>
      <c r="J167" t="s">
        <v>24</v>
      </c>
      <c r="K167">
        <v>3</v>
      </c>
      <c r="L167" s="3">
        <v>35552</v>
      </c>
      <c r="M167" t="s">
        <v>42</v>
      </c>
      <c r="N167" t="s">
        <v>56</v>
      </c>
      <c r="O167">
        <v>1.67</v>
      </c>
      <c r="P167" t="s">
        <v>27</v>
      </c>
      <c r="Q167" t="s">
        <v>76</v>
      </c>
      <c r="R167">
        <v>2025</v>
      </c>
      <c r="S167" t="str">
        <f>IF(AND(HR_Employees[[#This Row],[Attrition]]="YES",HR_Employees[[#This Row],[Exit_Date]]&lt;&gt;""),YEAR(HR_Employees[[#This Row],[Exit_Date]]),"")</f>
        <v/>
      </c>
    </row>
    <row r="168" spans="1:19">
      <c r="A168" t="s">
        <v>369</v>
      </c>
      <c r="B168" t="s">
        <v>370</v>
      </c>
      <c r="C168">
        <v>21</v>
      </c>
      <c r="D168" t="s">
        <v>39</v>
      </c>
      <c r="E168" t="s">
        <v>32</v>
      </c>
      <c r="F168" t="s">
        <v>73</v>
      </c>
      <c r="G168" t="s">
        <v>33</v>
      </c>
      <c r="H168" s="2">
        <v>46035</v>
      </c>
      <c r="I168" s="2" t="str">
        <f>IFERROR(VLOOKUP(HR_Employees[[#This Row],[Employee_ID]],'[1]Synthetic Exit Data'!$A$2:$E$235,4,0)," NA")</f>
        <v xml:space="preserve"> NA</v>
      </c>
      <c r="J168" t="s">
        <v>24</v>
      </c>
      <c r="K168">
        <v>4</v>
      </c>
      <c r="L168" s="3">
        <v>33488</v>
      </c>
      <c r="M168" t="s">
        <v>42</v>
      </c>
      <c r="N168" t="s">
        <v>43</v>
      </c>
      <c r="O168">
        <v>0.75</v>
      </c>
      <c r="P168" t="s">
        <v>35</v>
      </c>
      <c r="Q168" t="s">
        <v>92</v>
      </c>
      <c r="R168">
        <v>2026</v>
      </c>
      <c r="S168" t="str">
        <f>IF(AND(HR_Employees[[#This Row],[Attrition]]="YES",HR_Employees[[#This Row],[Exit_Date]]&lt;&gt;""),YEAR(HR_Employees[[#This Row],[Exit_Date]]),"")</f>
        <v/>
      </c>
    </row>
    <row r="169" spans="1:19">
      <c r="A169" t="s">
        <v>371</v>
      </c>
      <c r="B169" t="s">
        <v>372</v>
      </c>
      <c r="C169">
        <v>39</v>
      </c>
      <c r="D169" t="s">
        <v>61</v>
      </c>
      <c r="E169" t="s">
        <v>21</v>
      </c>
      <c r="F169" t="s">
        <v>151</v>
      </c>
      <c r="G169" t="s">
        <v>33</v>
      </c>
      <c r="H169" s="2">
        <v>45425</v>
      </c>
      <c r="I169" s="2" t="str">
        <f>IFERROR(VLOOKUP(HR_Employees[[#This Row],[Employee_ID]],'[1]Synthetic Exit Data'!$A$2:$E$235,4,0)," NA")</f>
        <v xml:space="preserve"> NA</v>
      </c>
      <c r="J169" t="s">
        <v>24</v>
      </c>
      <c r="K169">
        <v>3</v>
      </c>
      <c r="L169" s="3">
        <v>167411</v>
      </c>
      <c r="M169" t="s">
        <v>25</v>
      </c>
      <c r="N169" t="s">
        <v>56</v>
      </c>
      <c r="O169">
        <v>2.42</v>
      </c>
      <c r="P169" t="s">
        <v>125</v>
      </c>
      <c r="Q169" t="s">
        <v>62</v>
      </c>
      <c r="R169">
        <v>2024</v>
      </c>
      <c r="S169" t="str">
        <f>IF(AND(HR_Employees[[#This Row],[Attrition]]="YES",HR_Employees[[#This Row],[Exit_Date]]&lt;&gt;""),YEAR(HR_Employees[[#This Row],[Exit_Date]]),"")</f>
        <v/>
      </c>
    </row>
    <row r="170" spans="1:19">
      <c r="A170" t="s">
        <v>373</v>
      </c>
      <c r="B170" t="s">
        <v>94</v>
      </c>
      <c r="C170">
        <v>41</v>
      </c>
      <c r="D170" t="s">
        <v>61</v>
      </c>
      <c r="E170" t="s">
        <v>21</v>
      </c>
      <c r="F170" t="s">
        <v>55</v>
      </c>
      <c r="G170" t="s">
        <v>48</v>
      </c>
      <c r="H170" s="2">
        <v>45701</v>
      </c>
      <c r="I170" s="2" t="str">
        <f>IFERROR(VLOOKUP(HR_Employees[[#This Row],[Employee_ID]],'[1]Synthetic Exit Data'!$A$2:$E$235,4,0)," NA")</f>
        <v xml:space="preserve"> NA</v>
      </c>
      <c r="J170" t="s">
        <v>24</v>
      </c>
      <c r="K170">
        <v>2</v>
      </c>
      <c r="L170" s="3">
        <v>18534</v>
      </c>
      <c r="M170" t="s">
        <v>82</v>
      </c>
      <c r="N170" t="s">
        <v>56</v>
      </c>
      <c r="O170">
        <v>1.67</v>
      </c>
      <c r="P170" t="s">
        <v>35</v>
      </c>
      <c r="Q170" t="s">
        <v>76</v>
      </c>
      <c r="R170">
        <v>2025</v>
      </c>
      <c r="S170" t="str">
        <f>IF(AND(HR_Employees[[#This Row],[Attrition]]="YES",HR_Employees[[#This Row],[Exit_Date]]&lt;&gt;""),YEAR(HR_Employees[[#This Row],[Exit_Date]]),"")</f>
        <v/>
      </c>
    </row>
    <row r="171" spans="1:19">
      <c r="A171" t="s">
        <v>374</v>
      </c>
      <c r="B171" t="s">
        <v>375</v>
      </c>
      <c r="C171">
        <v>23</v>
      </c>
      <c r="D171" t="s">
        <v>39</v>
      </c>
      <c r="E171" t="s">
        <v>32</v>
      </c>
      <c r="F171" t="s">
        <v>73</v>
      </c>
      <c r="G171" t="s">
        <v>48</v>
      </c>
      <c r="H171" s="2">
        <v>45486</v>
      </c>
      <c r="I171" s="2" t="str">
        <f>IFERROR(VLOOKUP(HR_Employees[[#This Row],[Employee_ID]],'[1]Synthetic Exit Data'!$A$2:$E$235,4,0)," NA")</f>
        <v xml:space="preserve"> NA</v>
      </c>
      <c r="J171" t="s">
        <v>24</v>
      </c>
      <c r="K171">
        <v>4</v>
      </c>
      <c r="L171" s="3">
        <v>23091</v>
      </c>
      <c r="M171" t="s">
        <v>82</v>
      </c>
      <c r="N171" t="s">
        <v>56</v>
      </c>
      <c r="O171">
        <v>2.25</v>
      </c>
      <c r="P171" t="s">
        <v>27</v>
      </c>
      <c r="Q171" t="s">
        <v>36</v>
      </c>
      <c r="R171">
        <v>2024</v>
      </c>
      <c r="S171" t="str">
        <f>IF(AND(HR_Employees[[#This Row],[Attrition]]="YES",HR_Employees[[#This Row],[Exit_Date]]&lt;&gt;""),YEAR(HR_Employees[[#This Row],[Exit_Date]]),"")</f>
        <v/>
      </c>
    </row>
    <row r="172" spans="1:19">
      <c r="A172" t="s">
        <v>376</v>
      </c>
      <c r="B172" t="s">
        <v>377</v>
      </c>
      <c r="C172">
        <v>27</v>
      </c>
      <c r="D172" t="s">
        <v>31</v>
      </c>
      <c r="E172" t="s">
        <v>32</v>
      </c>
      <c r="F172" t="s">
        <v>109</v>
      </c>
      <c r="G172" t="s">
        <v>48</v>
      </c>
      <c r="H172" s="2">
        <v>44939</v>
      </c>
      <c r="I172" s="2" t="str">
        <f>IFERROR(VLOOKUP(HR_Employees[[#This Row],[Employee_ID]],'[1]Synthetic Exit Data'!$A$2:$E$235,4,0)," NA")</f>
        <v xml:space="preserve"> NA</v>
      </c>
      <c r="J172" t="s">
        <v>24</v>
      </c>
      <c r="K172">
        <v>2</v>
      </c>
      <c r="L172" s="3">
        <v>92326</v>
      </c>
      <c r="M172" t="s">
        <v>66</v>
      </c>
      <c r="N172" t="s">
        <v>50</v>
      </c>
      <c r="O172">
        <v>3.75</v>
      </c>
      <c r="P172" t="s">
        <v>27</v>
      </c>
      <c r="Q172" t="s">
        <v>76</v>
      </c>
      <c r="R172">
        <v>2023</v>
      </c>
      <c r="S172" t="str">
        <f>IF(AND(HR_Employees[[#This Row],[Attrition]]="YES",HR_Employees[[#This Row],[Exit_Date]]&lt;&gt;""),YEAR(HR_Employees[[#This Row],[Exit_Date]]),"")</f>
        <v/>
      </c>
    </row>
    <row r="173" spans="1:19">
      <c r="A173" t="s">
        <v>378</v>
      </c>
      <c r="B173" t="s">
        <v>379</v>
      </c>
      <c r="C173">
        <v>52</v>
      </c>
      <c r="D173" t="s">
        <v>20</v>
      </c>
      <c r="E173" t="s">
        <v>32</v>
      </c>
      <c r="F173" t="s">
        <v>55</v>
      </c>
      <c r="G173" t="s">
        <v>48</v>
      </c>
      <c r="H173" s="2">
        <v>42137</v>
      </c>
      <c r="I173" s="2" t="str">
        <f>IFERROR(VLOOKUP(HR_Employees[[#This Row],[Employee_ID]],'[1]Synthetic Exit Data'!$A$2:$E$235,4,0)," NA")</f>
        <v xml:space="preserve"> NA</v>
      </c>
      <c r="J173" t="s">
        <v>24</v>
      </c>
      <c r="K173">
        <v>5</v>
      </c>
      <c r="L173" s="3">
        <v>21174</v>
      </c>
      <c r="M173" t="s">
        <v>82</v>
      </c>
      <c r="N173" t="s">
        <v>26</v>
      </c>
      <c r="O173">
        <v>11.42</v>
      </c>
      <c r="P173" t="s">
        <v>27</v>
      </c>
      <c r="Q173" t="s">
        <v>86</v>
      </c>
      <c r="R173">
        <v>2015</v>
      </c>
      <c r="S173" t="str">
        <f>IF(AND(HR_Employees[[#This Row],[Attrition]]="YES",HR_Employees[[#This Row],[Exit_Date]]&lt;&gt;""),YEAR(HR_Employees[[#This Row],[Exit_Date]]),"")</f>
        <v/>
      </c>
    </row>
    <row r="174" spans="1:19">
      <c r="A174" t="s">
        <v>380</v>
      </c>
      <c r="B174" t="s">
        <v>381</v>
      </c>
      <c r="C174">
        <v>42</v>
      </c>
      <c r="D174" t="s">
        <v>61</v>
      </c>
      <c r="E174" t="s">
        <v>21</v>
      </c>
      <c r="F174" t="s">
        <v>109</v>
      </c>
      <c r="G174" t="s">
        <v>48</v>
      </c>
      <c r="H174" s="2">
        <v>40615</v>
      </c>
      <c r="I174" s="2" t="str">
        <f>IFERROR(VLOOKUP(HR_Employees[[#This Row],[Employee_ID]],'[1]Synthetic Exit Data'!$A$2:$E$235,4,0)," NA")</f>
        <v xml:space="preserve"> NA</v>
      </c>
      <c r="J174" t="s">
        <v>24</v>
      </c>
      <c r="K174">
        <v>3</v>
      </c>
      <c r="L174" s="3">
        <v>64403</v>
      </c>
      <c r="M174" t="s">
        <v>34</v>
      </c>
      <c r="N174" t="s">
        <v>26</v>
      </c>
      <c r="O174">
        <v>15.58</v>
      </c>
      <c r="P174" t="s">
        <v>125</v>
      </c>
      <c r="Q174" t="s">
        <v>76</v>
      </c>
      <c r="R174">
        <v>2011</v>
      </c>
      <c r="S174" t="str">
        <f>IF(AND(HR_Employees[[#This Row],[Attrition]]="YES",HR_Employees[[#This Row],[Exit_Date]]&lt;&gt;""),YEAR(HR_Employees[[#This Row],[Exit_Date]]),"")</f>
        <v/>
      </c>
    </row>
    <row r="175" spans="1:19">
      <c r="A175" t="s">
        <v>382</v>
      </c>
      <c r="B175" t="s">
        <v>383</v>
      </c>
      <c r="C175">
        <v>23</v>
      </c>
      <c r="D175" t="s">
        <v>39</v>
      </c>
      <c r="E175" t="s">
        <v>21</v>
      </c>
      <c r="F175" t="s">
        <v>151</v>
      </c>
      <c r="G175" t="s">
        <v>33</v>
      </c>
      <c r="H175" s="2">
        <v>45729</v>
      </c>
      <c r="I175" s="2" t="str">
        <f>IFERROR(VLOOKUP(HR_Employees[[#This Row],[Employee_ID]],'[1]Synthetic Exit Data'!$A$2:$E$235,4,0)," NA")</f>
        <v xml:space="preserve"> NA</v>
      </c>
      <c r="J175" t="s">
        <v>24</v>
      </c>
      <c r="K175">
        <v>4</v>
      </c>
      <c r="L175" s="3">
        <v>24088</v>
      </c>
      <c r="M175" t="s">
        <v>82</v>
      </c>
      <c r="N175" t="s">
        <v>56</v>
      </c>
      <c r="O175">
        <v>1.58</v>
      </c>
      <c r="P175" t="s">
        <v>125</v>
      </c>
      <c r="Q175" t="s">
        <v>28</v>
      </c>
      <c r="R175">
        <v>2025</v>
      </c>
      <c r="S175" t="str">
        <f>IF(AND(HR_Employees[[#This Row],[Attrition]]="YES",HR_Employees[[#This Row],[Exit_Date]]&lt;&gt;""),YEAR(HR_Employees[[#This Row],[Exit_Date]]),"")</f>
        <v/>
      </c>
    </row>
    <row r="176" spans="1:19">
      <c r="A176" t="s">
        <v>384</v>
      </c>
      <c r="B176" t="s">
        <v>205</v>
      </c>
      <c r="C176">
        <v>22</v>
      </c>
      <c r="D176" t="s">
        <v>39</v>
      </c>
      <c r="E176" t="s">
        <v>32</v>
      </c>
      <c r="F176" t="s">
        <v>40</v>
      </c>
      <c r="G176" t="s">
        <v>23</v>
      </c>
      <c r="H176" s="2">
        <v>46016</v>
      </c>
      <c r="I176" s="2" t="str">
        <f>IFERROR(VLOOKUP(HR_Employees[[#This Row],[Employee_ID]],'[1]Synthetic Exit Data'!$A$2:$E$235,4,0)," NA")</f>
        <v>2025-12-28</v>
      </c>
      <c r="J176" t="s">
        <v>49</v>
      </c>
      <c r="K176">
        <v>3</v>
      </c>
      <c r="L176" s="3">
        <v>23475</v>
      </c>
      <c r="M176" t="s">
        <v>82</v>
      </c>
      <c r="N176" t="s">
        <v>43</v>
      </c>
      <c r="O176">
        <v>0.67</v>
      </c>
      <c r="P176" t="s">
        <v>57</v>
      </c>
      <c r="Q176" t="s">
        <v>44</v>
      </c>
      <c r="R176">
        <v>2025</v>
      </c>
      <c r="S176">
        <f>IF(AND(HR_Employees[[#This Row],[Attrition]]="YES",HR_Employees[[#This Row],[Exit_Date]]&lt;&gt;""),YEAR(HR_Employees[[#This Row],[Exit_Date]]),"")</f>
        <v>2025</v>
      </c>
    </row>
    <row r="177" spans="1:19">
      <c r="A177" t="s">
        <v>385</v>
      </c>
      <c r="B177" t="s">
        <v>386</v>
      </c>
      <c r="C177">
        <v>40</v>
      </c>
      <c r="D177" t="s">
        <v>61</v>
      </c>
      <c r="E177" t="s">
        <v>32</v>
      </c>
      <c r="F177" t="s">
        <v>40</v>
      </c>
      <c r="G177" t="s">
        <v>23</v>
      </c>
      <c r="H177" s="2">
        <v>45729</v>
      </c>
      <c r="I177" s="2" t="str">
        <f>IFERROR(VLOOKUP(HR_Employees[[#This Row],[Employee_ID]],'[1]Synthetic Exit Data'!$A$2:$E$235,4,0)," NA")</f>
        <v xml:space="preserve"> NA</v>
      </c>
      <c r="J177" t="s">
        <v>24</v>
      </c>
      <c r="K177">
        <v>3</v>
      </c>
      <c r="L177" s="3">
        <v>42425</v>
      </c>
      <c r="M177" t="s">
        <v>42</v>
      </c>
      <c r="N177" t="s">
        <v>56</v>
      </c>
      <c r="O177">
        <v>1.58</v>
      </c>
      <c r="P177" t="s">
        <v>57</v>
      </c>
      <c r="Q177" t="s">
        <v>44</v>
      </c>
      <c r="R177">
        <v>2025</v>
      </c>
      <c r="S177" t="str">
        <f>IF(AND(HR_Employees[[#This Row],[Attrition]]="YES",HR_Employees[[#This Row],[Exit_Date]]&lt;&gt;""),YEAR(HR_Employees[[#This Row],[Exit_Date]]),"")</f>
        <v/>
      </c>
    </row>
    <row r="178" spans="1:19">
      <c r="A178" t="s">
        <v>387</v>
      </c>
      <c r="B178" t="s">
        <v>122</v>
      </c>
      <c r="C178">
        <v>47</v>
      </c>
      <c r="D178" t="s">
        <v>20</v>
      </c>
      <c r="E178" t="s">
        <v>32</v>
      </c>
      <c r="F178" t="s">
        <v>109</v>
      </c>
      <c r="G178" t="s">
        <v>114</v>
      </c>
      <c r="H178" s="2">
        <v>45943</v>
      </c>
      <c r="I178" s="2" t="str">
        <f>IFERROR(VLOOKUP(HR_Employees[[#This Row],[Employee_ID]],'[1]Synthetic Exit Data'!$A$2:$E$235,4,0)," NA")</f>
        <v xml:space="preserve"> NA</v>
      </c>
      <c r="J178" t="s">
        <v>24</v>
      </c>
      <c r="K178">
        <v>3</v>
      </c>
      <c r="L178" s="3">
        <v>19145</v>
      </c>
      <c r="M178" t="s">
        <v>82</v>
      </c>
      <c r="N178" t="s">
        <v>43</v>
      </c>
      <c r="O178">
        <v>1</v>
      </c>
      <c r="P178" t="s">
        <v>125</v>
      </c>
      <c r="Q178" t="s">
        <v>36</v>
      </c>
      <c r="R178">
        <v>2025</v>
      </c>
      <c r="S178" t="str">
        <f>IF(AND(HR_Employees[[#This Row],[Attrition]]="YES",HR_Employees[[#This Row],[Exit_Date]]&lt;&gt;""),YEAR(HR_Employees[[#This Row],[Exit_Date]]),"")</f>
        <v/>
      </c>
    </row>
    <row r="179" spans="1:19">
      <c r="A179" t="s">
        <v>388</v>
      </c>
      <c r="B179" t="s">
        <v>389</v>
      </c>
      <c r="C179">
        <v>55</v>
      </c>
      <c r="D179" t="s">
        <v>20</v>
      </c>
      <c r="E179" t="s">
        <v>32</v>
      </c>
      <c r="F179" t="s">
        <v>73</v>
      </c>
      <c r="G179" t="s">
        <v>33</v>
      </c>
      <c r="H179" s="2">
        <v>46035</v>
      </c>
      <c r="I179" s="2" t="str">
        <f>IFERROR(VLOOKUP(HR_Employees[[#This Row],[Employee_ID]],'[1]Synthetic Exit Data'!$A$2:$E$235,4,0)," NA")</f>
        <v xml:space="preserve"> NA</v>
      </c>
      <c r="J179" t="s">
        <v>24</v>
      </c>
      <c r="K179">
        <v>2</v>
      </c>
      <c r="L179" s="3">
        <v>141595</v>
      </c>
      <c r="M179" t="s">
        <v>25</v>
      </c>
      <c r="N179" t="s">
        <v>43</v>
      </c>
      <c r="O179">
        <v>0.75</v>
      </c>
      <c r="P179" t="s">
        <v>51</v>
      </c>
      <c r="Q179" t="s">
        <v>86</v>
      </c>
      <c r="R179">
        <v>2026</v>
      </c>
      <c r="S179" t="str">
        <f>IF(AND(HR_Employees[[#This Row],[Attrition]]="YES",HR_Employees[[#This Row],[Exit_Date]]&lt;&gt;""),YEAR(HR_Employees[[#This Row],[Exit_Date]]),"")</f>
        <v/>
      </c>
    </row>
    <row r="180" spans="1:19">
      <c r="A180" t="s">
        <v>390</v>
      </c>
      <c r="B180" t="s">
        <v>391</v>
      </c>
      <c r="C180">
        <v>33</v>
      </c>
      <c r="D180" t="s">
        <v>31</v>
      </c>
      <c r="E180" t="s">
        <v>21</v>
      </c>
      <c r="F180" t="s">
        <v>47</v>
      </c>
      <c r="G180" t="s">
        <v>23</v>
      </c>
      <c r="H180" s="2">
        <v>45059</v>
      </c>
      <c r="I180" s="2" t="str">
        <f>IFERROR(VLOOKUP(HR_Employees[[#This Row],[Employee_ID]],'[1]Synthetic Exit Data'!$A$2:$E$235,4,0)," NA")</f>
        <v xml:space="preserve"> NA</v>
      </c>
      <c r="J180" t="s">
        <v>24</v>
      </c>
      <c r="K180">
        <v>3</v>
      </c>
      <c r="L180" s="3">
        <v>63904</v>
      </c>
      <c r="M180" t="s">
        <v>34</v>
      </c>
      <c r="N180" t="s">
        <v>50</v>
      </c>
      <c r="O180">
        <v>3.42</v>
      </c>
      <c r="P180" t="s">
        <v>35</v>
      </c>
      <c r="Q180" t="s">
        <v>92</v>
      </c>
      <c r="R180">
        <v>2023</v>
      </c>
      <c r="S180" t="str">
        <f>IF(AND(HR_Employees[[#This Row],[Attrition]]="YES",HR_Employees[[#This Row],[Exit_Date]]&lt;&gt;""),YEAR(HR_Employees[[#This Row],[Exit_Date]]),"")</f>
        <v/>
      </c>
    </row>
    <row r="181" spans="1:19">
      <c r="A181" t="s">
        <v>392</v>
      </c>
      <c r="B181" t="s">
        <v>393</v>
      </c>
      <c r="C181">
        <v>37</v>
      </c>
      <c r="D181" t="s">
        <v>61</v>
      </c>
      <c r="E181" t="s">
        <v>21</v>
      </c>
      <c r="F181" t="s">
        <v>55</v>
      </c>
      <c r="G181" t="s">
        <v>48</v>
      </c>
      <c r="H181" s="2">
        <v>44725</v>
      </c>
      <c r="I181" s="2" t="str">
        <f>IFERROR(VLOOKUP(HR_Employees[[#This Row],[Employee_ID]],'[1]Synthetic Exit Data'!$A$2:$E$235,4,0)," NA")</f>
        <v xml:space="preserve"> NA</v>
      </c>
      <c r="J181" t="s">
        <v>24</v>
      </c>
      <c r="K181">
        <v>2</v>
      </c>
      <c r="L181" s="3">
        <v>59061</v>
      </c>
      <c r="M181" t="s">
        <v>34</v>
      </c>
      <c r="N181" t="s">
        <v>50</v>
      </c>
      <c r="O181">
        <v>4.33</v>
      </c>
      <c r="P181" t="s">
        <v>51</v>
      </c>
      <c r="Q181" t="s">
        <v>76</v>
      </c>
      <c r="R181">
        <v>2022</v>
      </c>
      <c r="S181" t="str">
        <f>IF(AND(HR_Employees[[#This Row],[Attrition]]="YES",HR_Employees[[#This Row],[Exit_Date]]&lt;&gt;""),YEAR(HR_Employees[[#This Row],[Exit_Date]]),"")</f>
        <v/>
      </c>
    </row>
    <row r="182" spans="1:19">
      <c r="A182" t="s">
        <v>394</v>
      </c>
      <c r="B182" t="s">
        <v>395</v>
      </c>
      <c r="C182">
        <v>34</v>
      </c>
      <c r="D182" t="s">
        <v>31</v>
      </c>
      <c r="E182" t="s">
        <v>32</v>
      </c>
      <c r="F182" t="s">
        <v>73</v>
      </c>
      <c r="G182" t="s">
        <v>23</v>
      </c>
      <c r="H182" s="2">
        <v>46016</v>
      </c>
      <c r="I182" s="2" t="str">
        <f>IFERROR(VLOOKUP(HR_Employees[[#This Row],[Employee_ID]],'[1]Synthetic Exit Data'!$A$2:$E$235,4,0)," NA")</f>
        <v>2025-12-30</v>
      </c>
      <c r="J182" t="s">
        <v>49</v>
      </c>
      <c r="K182">
        <v>4</v>
      </c>
      <c r="L182" s="3">
        <v>34036</v>
      </c>
      <c r="M182" t="s">
        <v>42</v>
      </c>
      <c r="N182" t="s">
        <v>43</v>
      </c>
      <c r="O182">
        <v>0.75</v>
      </c>
      <c r="P182" t="s">
        <v>27</v>
      </c>
      <c r="Q182" t="s">
        <v>76</v>
      </c>
      <c r="R182">
        <v>2025</v>
      </c>
      <c r="S182">
        <f>IF(AND(HR_Employees[[#This Row],[Attrition]]="YES",HR_Employees[[#This Row],[Exit_Date]]&lt;&gt;""),YEAR(HR_Employees[[#This Row],[Exit_Date]]),"")</f>
        <v>2025</v>
      </c>
    </row>
    <row r="183" spans="1:19">
      <c r="A183" t="s">
        <v>396</v>
      </c>
      <c r="B183" t="s">
        <v>397</v>
      </c>
      <c r="C183">
        <v>40</v>
      </c>
      <c r="D183" t="s">
        <v>61</v>
      </c>
      <c r="E183" t="s">
        <v>32</v>
      </c>
      <c r="F183" t="s">
        <v>47</v>
      </c>
      <c r="G183" t="s">
        <v>48</v>
      </c>
      <c r="H183" s="2">
        <v>40615</v>
      </c>
      <c r="I183" s="2" t="str">
        <f>IFERROR(VLOOKUP(HR_Employees[[#This Row],[Employee_ID]],'[1]Synthetic Exit Data'!$A$2:$E$235,4,0)," NA")</f>
        <v xml:space="preserve"> NA</v>
      </c>
      <c r="J183" t="s">
        <v>24</v>
      </c>
      <c r="K183">
        <v>3</v>
      </c>
      <c r="L183" s="3">
        <v>36022</v>
      </c>
      <c r="M183" t="s">
        <v>42</v>
      </c>
      <c r="N183" t="s">
        <v>26</v>
      </c>
      <c r="O183">
        <v>15.58</v>
      </c>
      <c r="P183" t="s">
        <v>83</v>
      </c>
      <c r="Q183" t="s">
        <v>92</v>
      </c>
      <c r="R183">
        <v>2011</v>
      </c>
      <c r="S183" t="str">
        <f>IF(AND(HR_Employees[[#This Row],[Attrition]]="YES",HR_Employees[[#This Row],[Exit_Date]]&lt;&gt;""),YEAR(HR_Employees[[#This Row],[Exit_Date]]),"")</f>
        <v/>
      </c>
    </row>
    <row r="184" spans="1:19">
      <c r="A184" t="s">
        <v>398</v>
      </c>
      <c r="B184" t="s">
        <v>290</v>
      </c>
      <c r="C184">
        <v>35</v>
      </c>
      <c r="D184" t="s">
        <v>31</v>
      </c>
      <c r="E184" t="s">
        <v>32</v>
      </c>
      <c r="F184" t="s">
        <v>55</v>
      </c>
      <c r="G184" t="s">
        <v>23</v>
      </c>
      <c r="H184" s="2">
        <v>46278</v>
      </c>
      <c r="I184" s="2" t="str">
        <f>IFERROR(VLOOKUP(HR_Employees[[#This Row],[Employee_ID]],'[1]Synthetic Exit Data'!$A$2:$E$235,4,0)," NA")</f>
        <v xml:space="preserve"> NA</v>
      </c>
      <c r="J184" t="s">
        <v>24</v>
      </c>
      <c r="K184">
        <v>1</v>
      </c>
      <c r="L184" s="3">
        <v>59745</v>
      </c>
      <c r="M184" t="s">
        <v>34</v>
      </c>
      <c r="N184" t="s">
        <v>43</v>
      </c>
      <c r="O184">
        <v>0.08</v>
      </c>
      <c r="P184" t="s">
        <v>27</v>
      </c>
      <c r="Q184" t="s">
        <v>36</v>
      </c>
      <c r="R184">
        <v>2026</v>
      </c>
      <c r="S184" t="str">
        <f>IF(AND(HR_Employees[[#This Row],[Attrition]]="YES",HR_Employees[[#This Row],[Exit_Date]]&lt;&gt;""),YEAR(HR_Employees[[#This Row],[Exit_Date]]),"")</f>
        <v/>
      </c>
    </row>
    <row r="185" spans="1:19">
      <c r="A185" t="s">
        <v>399</v>
      </c>
      <c r="B185" t="s">
        <v>247</v>
      </c>
      <c r="C185">
        <v>22</v>
      </c>
      <c r="D185" t="s">
        <v>39</v>
      </c>
      <c r="E185" t="s">
        <v>21</v>
      </c>
      <c r="F185" t="s">
        <v>109</v>
      </c>
      <c r="G185" t="s">
        <v>33</v>
      </c>
      <c r="H185" s="2">
        <v>45092</v>
      </c>
      <c r="I185" s="2" t="str">
        <f>IFERROR(VLOOKUP(HR_Employees[[#This Row],[Employee_ID]],'[1]Synthetic Exit Data'!$A$2:$E$235,4,0)," NA")</f>
        <v>2024-07-03</v>
      </c>
      <c r="J185" t="s">
        <v>49</v>
      </c>
      <c r="K185">
        <v>4</v>
      </c>
      <c r="L185" s="3">
        <v>56420</v>
      </c>
      <c r="M185" t="s">
        <v>34</v>
      </c>
      <c r="N185" t="s">
        <v>50</v>
      </c>
      <c r="O185">
        <v>3.25</v>
      </c>
      <c r="P185" t="s">
        <v>125</v>
      </c>
      <c r="Q185" t="s">
        <v>76</v>
      </c>
      <c r="R185">
        <v>2023</v>
      </c>
      <c r="S185">
        <f>IF(AND(HR_Employees[[#This Row],[Attrition]]="YES",HR_Employees[[#This Row],[Exit_Date]]&lt;&gt;""),YEAR(HR_Employees[[#This Row],[Exit_Date]]),"")</f>
        <v>2024</v>
      </c>
    </row>
    <row r="186" spans="1:19">
      <c r="A186" t="s">
        <v>400</v>
      </c>
      <c r="B186" t="s">
        <v>401</v>
      </c>
      <c r="C186">
        <v>30</v>
      </c>
      <c r="D186" t="s">
        <v>31</v>
      </c>
      <c r="E186" t="s">
        <v>21</v>
      </c>
      <c r="F186" t="s">
        <v>47</v>
      </c>
      <c r="G186" t="s">
        <v>23</v>
      </c>
      <c r="H186" s="2">
        <v>46057</v>
      </c>
      <c r="I186" s="2" t="str">
        <f>IFERROR(VLOOKUP(HR_Employees[[#This Row],[Employee_ID]],'[1]Synthetic Exit Data'!$A$2:$E$235,4,0)," NA")</f>
        <v>2026-02-07</v>
      </c>
      <c r="J186" t="s">
        <v>49</v>
      </c>
      <c r="K186">
        <v>3</v>
      </c>
      <c r="L186" s="3">
        <v>26237</v>
      </c>
      <c r="M186" t="s">
        <v>82</v>
      </c>
      <c r="N186" t="s">
        <v>43</v>
      </c>
      <c r="O186">
        <v>0.5</v>
      </c>
      <c r="P186" t="s">
        <v>57</v>
      </c>
      <c r="Q186" t="s">
        <v>62</v>
      </c>
      <c r="R186">
        <v>2026</v>
      </c>
      <c r="S186">
        <f>IF(AND(HR_Employees[[#This Row],[Attrition]]="YES",HR_Employees[[#This Row],[Exit_Date]]&lt;&gt;""),YEAR(HR_Employees[[#This Row],[Exit_Date]]),"")</f>
        <v>2026</v>
      </c>
    </row>
    <row r="187" spans="1:19">
      <c r="A187" t="s">
        <v>402</v>
      </c>
      <c r="B187" t="s">
        <v>403</v>
      </c>
      <c r="C187">
        <v>46</v>
      </c>
      <c r="D187" t="s">
        <v>20</v>
      </c>
      <c r="E187" t="s">
        <v>21</v>
      </c>
      <c r="F187" t="s">
        <v>109</v>
      </c>
      <c r="G187" t="s">
        <v>23</v>
      </c>
      <c r="H187" s="2">
        <v>43874</v>
      </c>
      <c r="I187" s="2" t="str">
        <f>IFERROR(VLOOKUP(HR_Employees[[#This Row],[Employee_ID]],'[1]Synthetic Exit Data'!$A$2:$E$235,4,0)," NA")</f>
        <v xml:space="preserve"> NA</v>
      </c>
      <c r="J187" t="s">
        <v>24</v>
      </c>
      <c r="K187">
        <v>4</v>
      </c>
      <c r="L187" s="3">
        <v>36181</v>
      </c>
      <c r="M187" t="s">
        <v>42</v>
      </c>
      <c r="N187" t="s">
        <v>79</v>
      </c>
      <c r="O187">
        <v>6.67</v>
      </c>
      <c r="P187" t="s">
        <v>27</v>
      </c>
      <c r="Q187" t="s">
        <v>58</v>
      </c>
      <c r="R187">
        <v>2020</v>
      </c>
      <c r="S187" t="str">
        <f>IF(AND(HR_Employees[[#This Row],[Attrition]]="YES",HR_Employees[[#This Row],[Exit_Date]]&lt;&gt;""),YEAR(HR_Employees[[#This Row],[Exit_Date]]),"")</f>
        <v/>
      </c>
    </row>
    <row r="188" spans="1:19">
      <c r="A188" t="s">
        <v>404</v>
      </c>
      <c r="B188" t="s">
        <v>327</v>
      </c>
      <c r="C188">
        <v>22</v>
      </c>
      <c r="D188" t="s">
        <v>39</v>
      </c>
      <c r="E188" t="s">
        <v>32</v>
      </c>
      <c r="F188" t="s">
        <v>151</v>
      </c>
      <c r="G188" t="s">
        <v>48</v>
      </c>
      <c r="H188" s="2">
        <v>45243</v>
      </c>
      <c r="I188" s="2" t="str">
        <f>IFERROR(VLOOKUP(HR_Employees[[#This Row],[Employee_ID]],'[1]Synthetic Exit Data'!$A$2:$E$235,4,0)," NA")</f>
        <v xml:space="preserve"> NA</v>
      </c>
      <c r="J188" t="s">
        <v>24</v>
      </c>
      <c r="K188">
        <v>4</v>
      </c>
      <c r="L188" s="3">
        <v>56137</v>
      </c>
      <c r="M188" t="s">
        <v>34</v>
      </c>
      <c r="N188" t="s">
        <v>56</v>
      </c>
      <c r="O188">
        <v>2.92</v>
      </c>
      <c r="P188" t="s">
        <v>83</v>
      </c>
      <c r="Q188" t="s">
        <v>58</v>
      </c>
      <c r="R188">
        <v>2023</v>
      </c>
      <c r="S188" t="str">
        <f>IF(AND(HR_Employees[[#This Row],[Attrition]]="YES",HR_Employees[[#This Row],[Exit_Date]]&lt;&gt;""),YEAR(HR_Employees[[#This Row],[Exit_Date]]),"")</f>
        <v/>
      </c>
    </row>
    <row r="189" spans="1:19">
      <c r="A189" t="s">
        <v>405</v>
      </c>
      <c r="B189" t="s">
        <v>264</v>
      </c>
      <c r="C189">
        <v>31</v>
      </c>
      <c r="D189" t="s">
        <v>31</v>
      </c>
      <c r="E189" t="s">
        <v>21</v>
      </c>
      <c r="F189" t="s">
        <v>55</v>
      </c>
      <c r="G189" t="s">
        <v>23</v>
      </c>
      <c r="H189" s="2">
        <v>46085</v>
      </c>
      <c r="I189" s="2" t="str">
        <f>IFERROR(VLOOKUP(HR_Employees[[#This Row],[Employee_ID]],'[1]Synthetic Exit Data'!$A$2:$E$235,4,0)," NA")</f>
        <v>2026-09-12</v>
      </c>
      <c r="J189" t="s">
        <v>49</v>
      </c>
      <c r="K189">
        <v>2</v>
      </c>
      <c r="L189" s="3">
        <v>69431</v>
      </c>
      <c r="M189" t="s">
        <v>34</v>
      </c>
      <c r="N189" t="s">
        <v>43</v>
      </c>
      <c r="O189">
        <v>0.42</v>
      </c>
      <c r="P189" t="s">
        <v>51</v>
      </c>
      <c r="Q189" t="s">
        <v>86</v>
      </c>
      <c r="R189">
        <v>2026</v>
      </c>
      <c r="S189">
        <f>IF(AND(HR_Employees[[#This Row],[Attrition]]="YES",HR_Employees[[#This Row],[Exit_Date]]&lt;&gt;""),YEAR(HR_Employees[[#This Row],[Exit_Date]]),"")</f>
        <v>2026</v>
      </c>
    </row>
    <row r="190" spans="1:19">
      <c r="A190" t="s">
        <v>406</v>
      </c>
      <c r="B190" t="s">
        <v>304</v>
      </c>
      <c r="C190">
        <v>32</v>
      </c>
      <c r="D190" t="s">
        <v>31</v>
      </c>
      <c r="E190" t="s">
        <v>21</v>
      </c>
      <c r="F190" t="s">
        <v>55</v>
      </c>
      <c r="G190" t="s">
        <v>41</v>
      </c>
      <c r="H190" s="2">
        <v>46186</v>
      </c>
      <c r="I190" s="2" t="str">
        <f>IFERROR(VLOOKUP(HR_Employees[[#This Row],[Employee_ID]],'[1]Synthetic Exit Data'!$A$2:$E$235,4,0)," NA")</f>
        <v xml:space="preserve"> NA</v>
      </c>
      <c r="J190" t="s">
        <v>24</v>
      </c>
      <c r="K190">
        <v>5</v>
      </c>
      <c r="L190" s="3">
        <v>66348</v>
      </c>
      <c r="M190" t="s">
        <v>34</v>
      </c>
      <c r="N190" t="s">
        <v>43</v>
      </c>
      <c r="O190">
        <v>0.33</v>
      </c>
      <c r="P190" t="s">
        <v>51</v>
      </c>
      <c r="Q190" t="s">
        <v>62</v>
      </c>
      <c r="R190">
        <v>2026</v>
      </c>
      <c r="S190" t="str">
        <f>IF(AND(HR_Employees[[#This Row],[Attrition]]="YES",HR_Employees[[#This Row],[Exit_Date]]&lt;&gt;""),YEAR(HR_Employees[[#This Row],[Exit_Date]]),"")</f>
        <v/>
      </c>
    </row>
    <row r="191" spans="1:19">
      <c r="A191" t="s">
        <v>407</v>
      </c>
      <c r="B191" t="s">
        <v>408</v>
      </c>
      <c r="C191">
        <v>60</v>
      </c>
      <c r="D191" t="s">
        <v>54</v>
      </c>
      <c r="E191" t="s">
        <v>21</v>
      </c>
      <c r="F191" t="s">
        <v>109</v>
      </c>
      <c r="G191" t="s">
        <v>23</v>
      </c>
      <c r="H191" s="2">
        <v>46247</v>
      </c>
      <c r="I191" s="2" t="str">
        <f>IFERROR(VLOOKUP(HR_Employees[[#This Row],[Employee_ID]],'[1]Synthetic Exit Data'!$A$2:$E$235,4,0)," NA")</f>
        <v xml:space="preserve"> NA</v>
      </c>
      <c r="J191" t="s">
        <v>24</v>
      </c>
      <c r="K191">
        <v>2</v>
      </c>
      <c r="L191" s="3">
        <v>117219</v>
      </c>
      <c r="M191" t="s">
        <v>25</v>
      </c>
      <c r="N191" t="s">
        <v>43</v>
      </c>
      <c r="O191">
        <v>0.17</v>
      </c>
      <c r="P191" t="s">
        <v>27</v>
      </c>
      <c r="Q191" t="s">
        <v>44</v>
      </c>
      <c r="R191">
        <v>2026</v>
      </c>
      <c r="S191" t="str">
        <f>IF(AND(HR_Employees[[#This Row],[Attrition]]="YES",HR_Employees[[#This Row],[Exit_Date]]&lt;&gt;""),YEAR(HR_Employees[[#This Row],[Exit_Date]]),"")</f>
        <v/>
      </c>
    </row>
    <row r="192" spans="1:19">
      <c r="A192" t="s">
        <v>409</v>
      </c>
      <c r="B192" t="s">
        <v>410</v>
      </c>
      <c r="C192">
        <v>39</v>
      </c>
      <c r="D192" t="s">
        <v>61</v>
      </c>
      <c r="E192" t="s">
        <v>32</v>
      </c>
      <c r="F192" t="s">
        <v>40</v>
      </c>
      <c r="G192" t="s">
        <v>23</v>
      </c>
      <c r="H192" s="2">
        <v>41738</v>
      </c>
      <c r="I192" s="2" t="str">
        <f>IFERROR(VLOOKUP(HR_Employees[[#This Row],[Employee_ID]],'[1]Synthetic Exit Data'!$A$2:$E$235,4,0)," NA")</f>
        <v>2019-05-14</v>
      </c>
      <c r="J192" t="s">
        <v>49</v>
      </c>
      <c r="K192">
        <v>2</v>
      </c>
      <c r="L192" s="3">
        <v>30344</v>
      </c>
      <c r="M192" t="s">
        <v>42</v>
      </c>
      <c r="N192" t="s">
        <v>26</v>
      </c>
      <c r="O192">
        <v>12.5</v>
      </c>
      <c r="P192" t="s">
        <v>125</v>
      </c>
      <c r="Q192" t="s">
        <v>28</v>
      </c>
      <c r="R192">
        <v>2014</v>
      </c>
      <c r="S192">
        <f>IF(AND(HR_Employees[[#This Row],[Attrition]]="YES",HR_Employees[[#This Row],[Exit_Date]]&lt;&gt;""),YEAR(HR_Employees[[#This Row],[Exit_Date]]),"")</f>
        <v>2019</v>
      </c>
    </row>
    <row r="193" spans="1:19">
      <c r="A193" t="s">
        <v>411</v>
      </c>
      <c r="B193" t="s">
        <v>412</v>
      </c>
      <c r="C193">
        <v>28</v>
      </c>
      <c r="D193" t="s">
        <v>31</v>
      </c>
      <c r="E193" t="s">
        <v>21</v>
      </c>
      <c r="F193" t="s">
        <v>22</v>
      </c>
      <c r="G193" t="s">
        <v>48</v>
      </c>
      <c r="H193" s="2">
        <v>46019</v>
      </c>
      <c r="I193" s="2" t="str">
        <f>IFERROR(VLOOKUP(HR_Employees[[#This Row],[Employee_ID]],'[1]Synthetic Exit Data'!$A$2:$E$235,4,0)," NA")</f>
        <v>2025-12-31</v>
      </c>
      <c r="J193" t="s">
        <v>49</v>
      </c>
      <c r="K193">
        <v>4</v>
      </c>
      <c r="L193" s="3">
        <v>32266</v>
      </c>
      <c r="M193" t="s">
        <v>42</v>
      </c>
      <c r="N193" t="s">
        <v>43</v>
      </c>
      <c r="O193">
        <v>0.75</v>
      </c>
      <c r="P193" t="s">
        <v>125</v>
      </c>
      <c r="Q193" t="s">
        <v>62</v>
      </c>
      <c r="R193">
        <v>2025</v>
      </c>
      <c r="S193">
        <f>IF(AND(HR_Employees[[#This Row],[Attrition]]="YES",HR_Employees[[#This Row],[Exit_Date]]&lt;&gt;""),YEAR(HR_Employees[[#This Row],[Exit_Date]]),"")</f>
        <v>2025</v>
      </c>
    </row>
    <row r="194" spans="1:19">
      <c r="A194" t="s">
        <v>413</v>
      </c>
      <c r="B194" t="s">
        <v>336</v>
      </c>
      <c r="C194">
        <v>38</v>
      </c>
      <c r="D194" t="s">
        <v>61</v>
      </c>
      <c r="E194" t="s">
        <v>32</v>
      </c>
      <c r="F194" t="s">
        <v>151</v>
      </c>
      <c r="G194" t="s">
        <v>33</v>
      </c>
      <c r="H194" s="2">
        <v>45790</v>
      </c>
      <c r="I194" s="2" t="str">
        <f>IFERROR(VLOOKUP(HR_Employees[[#This Row],[Employee_ID]],'[1]Synthetic Exit Data'!$A$2:$E$235,4,0)," NA")</f>
        <v xml:space="preserve"> NA</v>
      </c>
      <c r="J194" t="s">
        <v>24</v>
      </c>
      <c r="K194">
        <v>4</v>
      </c>
      <c r="L194" s="3">
        <v>141796</v>
      </c>
      <c r="M194" t="s">
        <v>25</v>
      </c>
      <c r="N194" t="s">
        <v>56</v>
      </c>
      <c r="O194">
        <v>1.42</v>
      </c>
      <c r="P194" t="s">
        <v>35</v>
      </c>
      <c r="Q194" t="s">
        <v>44</v>
      </c>
      <c r="R194">
        <v>2025</v>
      </c>
      <c r="S194" t="str">
        <f>IF(AND(HR_Employees[[#This Row],[Attrition]]="YES",HR_Employees[[#This Row],[Exit_Date]]&lt;&gt;""),YEAR(HR_Employees[[#This Row],[Exit_Date]]),"")</f>
        <v/>
      </c>
    </row>
    <row r="195" spans="1:19">
      <c r="A195" t="s">
        <v>414</v>
      </c>
      <c r="B195" t="s">
        <v>415</v>
      </c>
      <c r="C195">
        <v>21</v>
      </c>
      <c r="D195" t="s">
        <v>39</v>
      </c>
      <c r="E195" t="s">
        <v>32</v>
      </c>
      <c r="F195" t="s">
        <v>47</v>
      </c>
      <c r="G195" t="s">
        <v>41</v>
      </c>
      <c r="H195" s="2">
        <v>45760</v>
      </c>
      <c r="I195" s="2" t="str">
        <f>IFERROR(VLOOKUP(HR_Employees[[#This Row],[Employee_ID]],'[1]Synthetic Exit Data'!$A$2:$E$235,4,0)," NA")</f>
        <v xml:space="preserve"> NA</v>
      </c>
      <c r="J195" t="s">
        <v>24</v>
      </c>
      <c r="K195">
        <v>2</v>
      </c>
      <c r="L195" s="3">
        <v>20597</v>
      </c>
      <c r="M195" t="s">
        <v>82</v>
      </c>
      <c r="N195" t="s">
        <v>56</v>
      </c>
      <c r="O195">
        <v>1.5</v>
      </c>
      <c r="P195" t="s">
        <v>27</v>
      </c>
      <c r="Q195" t="s">
        <v>86</v>
      </c>
      <c r="R195">
        <v>2025</v>
      </c>
      <c r="S195" t="str">
        <f>IF(AND(HR_Employees[[#This Row],[Attrition]]="YES",HR_Employees[[#This Row],[Exit_Date]]&lt;&gt;""),YEAR(HR_Employees[[#This Row],[Exit_Date]]),"")</f>
        <v/>
      </c>
    </row>
    <row r="196" spans="1:19">
      <c r="A196" t="s">
        <v>416</v>
      </c>
      <c r="B196" t="s">
        <v>417</v>
      </c>
      <c r="C196">
        <v>38</v>
      </c>
      <c r="D196" t="s">
        <v>61</v>
      </c>
      <c r="E196" t="s">
        <v>21</v>
      </c>
      <c r="F196" t="s">
        <v>109</v>
      </c>
      <c r="G196" t="s">
        <v>48</v>
      </c>
      <c r="H196" s="2">
        <v>42048</v>
      </c>
      <c r="I196" s="2" t="str">
        <f>IFERROR(VLOOKUP(HR_Employees[[#This Row],[Employee_ID]],'[1]Synthetic Exit Data'!$A$2:$E$235,4,0)," NA")</f>
        <v xml:space="preserve"> NA</v>
      </c>
      <c r="J196" t="s">
        <v>24</v>
      </c>
      <c r="K196">
        <v>5</v>
      </c>
      <c r="L196" s="3">
        <v>156108</v>
      </c>
      <c r="M196" t="s">
        <v>25</v>
      </c>
      <c r="N196" t="s">
        <v>26</v>
      </c>
      <c r="O196">
        <v>11.67</v>
      </c>
      <c r="P196" t="s">
        <v>51</v>
      </c>
      <c r="Q196" t="s">
        <v>92</v>
      </c>
      <c r="R196">
        <v>2015</v>
      </c>
      <c r="S196" t="str">
        <f>IF(AND(HR_Employees[[#This Row],[Attrition]]="YES",HR_Employees[[#This Row],[Exit_Date]]&lt;&gt;""),YEAR(HR_Employees[[#This Row],[Exit_Date]]),"")</f>
        <v/>
      </c>
    </row>
    <row r="197" spans="1:19">
      <c r="A197" t="s">
        <v>418</v>
      </c>
      <c r="B197" t="s">
        <v>419</v>
      </c>
      <c r="C197">
        <v>22</v>
      </c>
      <c r="D197" t="s">
        <v>39</v>
      </c>
      <c r="E197" t="s">
        <v>32</v>
      </c>
      <c r="F197" t="s">
        <v>40</v>
      </c>
      <c r="G197" t="s">
        <v>23</v>
      </c>
      <c r="H197" s="2">
        <v>44694</v>
      </c>
      <c r="I197" s="2" t="str">
        <f>IFERROR(VLOOKUP(HR_Employees[[#This Row],[Employee_ID]],'[1]Synthetic Exit Data'!$A$2:$E$235,4,0)," NA")</f>
        <v xml:space="preserve"> NA</v>
      </c>
      <c r="J197" t="s">
        <v>24</v>
      </c>
      <c r="K197">
        <v>1</v>
      </c>
      <c r="L197" s="3">
        <v>65534</v>
      </c>
      <c r="M197" t="s">
        <v>34</v>
      </c>
      <c r="N197" t="s">
        <v>50</v>
      </c>
      <c r="O197">
        <v>4.42</v>
      </c>
      <c r="P197" t="s">
        <v>57</v>
      </c>
      <c r="Q197" t="s">
        <v>92</v>
      </c>
      <c r="R197">
        <v>2022</v>
      </c>
      <c r="S197" t="str">
        <f>IF(AND(HR_Employees[[#This Row],[Attrition]]="YES",HR_Employees[[#This Row],[Exit_Date]]&lt;&gt;""),YEAR(HR_Employees[[#This Row],[Exit_Date]]),"")</f>
        <v/>
      </c>
    </row>
    <row r="198" spans="1:19">
      <c r="A198" t="s">
        <v>420</v>
      </c>
      <c r="B198" t="s">
        <v>142</v>
      </c>
      <c r="C198">
        <v>24</v>
      </c>
      <c r="D198" t="s">
        <v>39</v>
      </c>
      <c r="E198" t="s">
        <v>32</v>
      </c>
      <c r="F198" t="s">
        <v>47</v>
      </c>
      <c r="G198" t="s">
        <v>23</v>
      </c>
      <c r="H198" s="2">
        <v>40585</v>
      </c>
      <c r="I198" s="2" t="str">
        <f>IFERROR(VLOOKUP(HR_Employees[[#This Row],[Employee_ID]],'[1]Synthetic Exit Data'!$A$2:$E$235,4,0)," NA")</f>
        <v>2018-10-18</v>
      </c>
      <c r="J198" t="s">
        <v>49</v>
      </c>
      <c r="K198">
        <v>4</v>
      </c>
      <c r="L198" s="3">
        <v>43845</v>
      </c>
      <c r="M198" t="s">
        <v>42</v>
      </c>
      <c r="N198" t="s">
        <v>26</v>
      </c>
      <c r="O198">
        <v>15.5</v>
      </c>
      <c r="P198" t="s">
        <v>27</v>
      </c>
      <c r="Q198" t="s">
        <v>76</v>
      </c>
      <c r="R198">
        <v>2011</v>
      </c>
      <c r="S198">
        <f>IF(AND(HR_Employees[[#This Row],[Attrition]]="YES",HR_Employees[[#This Row],[Exit_Date]]&lt;&gt;""),YEAR(HR_Employees[[#This Row],[Exit_Date]]),"")</f>
        <v>2018</v>
      </c>
    </row>
    <row r="199" spans="1:19">
      <c r="A199" t="s">
        <v>421</v>
      </c>
      <c r="B199" t="s">
        <v>422</v>
      </c>
      <c r="C199">
        <v>28</v>
      </c>
      <c r="D199" t="s">
        <v>31</v>
      </c>
      <c r="E199" t="s">
        <v>21</v>
      </c>
      <c r="F199" t="s">
        <v>109</v>
      </c>
      <c r="G199" t="s">
        <v>23</v>
      </c>
      <c r="H199" s="2">
        <v>45517</v>
      </c>
      <c r="I199" s="2" t="str">
        <f>IFERROR(VLOOKUP(HR_Employees[[#This Row],[Employee_ID]],'[1]Synthetic Exit Data'!$A$2:$E$235,4,0)," NA")</f>
        <v xml:space="preserve"> NA</v>
      </c>
      <c r="J199" t="s">
        <v>24</v>
      </c>
      <c r="K199">
        <v>1</v>
      </c>
      <c r="L199" s="3">
        <v>82027</v>
      </c>
      <c r="M199" t="s">
        <v>66</v>
      </c>
      <c r="N199" t="s">
        <v>56</v>
      </c>
      <c r="O199">
        <v>2.17</v>
      </c>
      <c r="P199" t="s">
        <v>27</v>
      </c>
      <c r="Q199" t="s">
        <v>92</v>
      </c>
      <c r="R199">
        <v>2024</v>
      </c>
      <c r="S199" t="str">
        <f>IF(AND(HR_Employees[[#This Row],[Attrition]]="YES",HR_Employees[[#This Row],[Exit_Date]]&lt;&gt;""),YEAR(HR_Employees[[#This Row],[Exit_Date]]),"")</f>
        <v/>
      </c>
    </row>
    <row r="200" spans="1:19">
      <c r="A200" t="s">
        <v>423</v>
      </c>
      <c r="B200" t="s">
        <v>106</v>
      </c>
      <c r="C200">
        <v>22</v>
      </c>
      <c r="D200" t="s">
        <v>39</v>
      </c>
      <c r="E200" t="s">
        <v>32</v>
      </c>
      <c r="F200" t="s">
        <v>40</v>
      </c>
      <c r="G200" t="s">
        <v>23</v>
      </c>
      <c r="H200" s="2">
        <v>40879</v>
      </c>
      <c r="I200" s="2" t="str">
        <f>IFERROR(VLOOKUP(HR_Employees[[#This Row],[Employee_ID]],'[1]Synthetic Exit Data'!$A$2:$E$235,4,0)," NA")</f>
        <v>2017-04-19</v>
      </c>
      <c r="J200" t="s">
        <v>49</v>
      </c>
      <c r="K200">
        <v>5</v>
      </c>
      <c r="L200" s="3">
        <v>18976</v>
      </c>
      <c r="M200" t="s">
        <v>82</v>
      </c>
      <c r="N200" t="s">
        <v>26</v>
      </c>
      <c r="O200">
        <v>14.75</v>
      </c>
      <c r="P200" t="s">
        <v>125</v>
      </c>
      <c r="Q200" t="s">
        <v>28</v>
      </c>
      <c r="R200">
        <v>2011</v>
      </c>
      <c r="S200">
        <f>IF(AND(HR_Employees[[#This Row],[Attrition]]="YES",HR_Employees[[#This Row],[Exit_Date]]&lt;&gt;""),YEAR(HR_Employees[[#This Row],[Exit_Date]]),"")</f>
        <v>2017</v>
      </c>
    </row>
    <row r="201" spans="1:19">
      <c r="A201" t="s">
        <v>424</v>
      </c>
      <c r="B201" t="s">
        <v>425</v>
      </c>
      <c r="C201">
        <v>44</v>
      </c>
      <c r="D201" t="s">
        <v>61</v>
      </c>
      <c r="E201" t="s">
        <v>21</v>
      </c>
      <c r="F201" t="s">
        <v>40</v>
      </c>
      <c r="G201" t="s">
        <v>33</v>
      </c>
      <c r="H201" s="2">
        <v>45639</v>
      </c>
      <c r="I201" s="2" t="str">
        <f>IFERROR(VLOOKUP(HR_Employees[[#This Row],[Employee_ID]],'[1]Synthetic Exit Data'!$A$2:$E$235,4,0)," NA")</f>
        <v xml:space="preserve"> NA</v>
      </c>
      <c r="J201" t="s">
        <v>24</v>
      </c>
      <c r="K201">
        <v>4</v>
      </c>
      <c r="L201" s="3">
        <v>42067</v>
      </c>
      <c r="M201" t="s">
        <v>42</v>
      </c>
      <c r="N201" t="s">
        <v>56</v>
      </c>
      <c r="O201">
        <v>1.83</v>
      </c>
      <c r="P201" t="s">
        <v>51</v>
      </c>
      <c r="Q201" t="s">
        <v>76</v>
      </c>
      <c r="R201">
        <v>2024</v>
      </c>
      <c r="S201" t="str">
        <f>IF(AND(HR_Employees[[#This Row],[Attrition]]="YES",HR_Employees[[#This Row],[Exit_Date]]&lt;&gt;""),YEAR(HR_Employees[[#This Row],[Exit_Date]]),"")</f>
        <v/>
      </c>
    </row>
    <row r="202" spans="1:19">
      <c r="A202" t="s">
        <v>426</v>
      </c>
      <c r="B202" t="s">
        <v>427</v>
      </c>
      <c r="C202">
        <v>40</v>
      </c>
      <c r="D202" t="s">
        <v>61</v>
      </c>
      <c r="E202" t="s">
        <v>21</v>
      </c>
      <c r="F202" t="s">
        <v>40</v>
      </c>
      <c r="G202" t="s">
        <v>33</v>
      </c>
      <c r="H202" s="2">
        <v>45469</v>
      </c>
      <c r="I202" s="2" t="str">
        <f>IFERROR(VLOOKUP(HR_Employees[[#This Row],[Employee_ID]],'[1]Synthetic Exit Data'!$A$2:$E$235,4,0)," NA")</f>
        <v>2024-12-08</v>
      </c>
      <c r="J202" t="s">
        <v>49</v>
      </c>
      <c r="K202">
        <v>1</v>
      </c>
      <c r="L202" s="3">
        <v>20185</v>
      </c>
      <c r="M202" t="s">
        <v>82</v>
      </c>
      <c r="N202" t="s">
        <v>56</v>
      </c>
      <c r="O202">
        <v>2.17</v>
      </c>
      <c r="P202" t="s">
        <v>57</v>
      </c>
      <c r="Q202" t="s">
        <v>58</v>
      </c>
      <c r="R202">
        <v>2024</v>
      </c>
      <c r="S202">
        <f>IF(AND(HR_Employees[[#This Row],[Attrition]]="YES",HR_Employees[[#This Row],[Exit_Date]]&lt;&gt;""),YEAR(HR_Employees[[#This Row],[Exit_Date]]),"")</f>
        <v>2024</v>
      </c>
    </row>
    <row r="203" spans="1:19">
      <c r="A203" t="s">
        <v>428</v>
      </c>
      <c r="B203" t="s">
        <v>429</v>
      </c>
      <c r="C203">
        <v>52</v>
      </c>
      <c r="D203" t="s">
        <v>20</v>
      </c>
      <c r="E203" t="s">
        <v>32</v>
      </c>
      <c r="F203" t="s">
        <v>47</v>
      </c>
      <c r="G203" t="s">
        <v>33</v>
      </c>
      <c r="H203" s="2">
        <v>45670</v>
      </c>
      <c r="I203" s="2" t="str">
        <f>IFERROR(VLOOKUP(HR_Employees[[#This Row],[Employee_ID]],'[1]Synthetic Exit Data'!$A$2:$E$235,4,0)," NA")</f>
        <v xml:space="preserve"> NA</v>
      </c>
      <c r="J203" t="s">
        <v>24</v>
      </c>
      <c r="K203">
        <v>1</v>
      </c>
      <c r="L203" s="3">
        <v>40864</v>
      </c>
      <c r="M203" t="s">
        <v>42</v>
      </c>
      <c r="N203" t="s">
        <v>56</v>
      </c>
      <c r="O203">
        <v>1.75</v>
      </c>
      <c r="P203" t="s">
        <v>27</v>
      </c>
      <c r="Q203" t="s">
        <v>76</v>
      </c>
      <c r="R203">
        <v>2025</v>
      </c>
      <c r="S203" t="str">
        <f>IF(AND(HR_Employees[[#This Row],[Attrition]]="YES",HR_Employees[[#This Row],[Exit_Date]]&lt;&gt;""),YEAR(HR_Employees[[#This Row],[Exit_Date]]),"")</f>
        <v/>
      </c>
    </row>
    <row r="204" spans="1:19">
      <c r="A204" t="s">
        <v>430</v>
      </c>
      <c r="B204" t="s">
        <v>199</v>
      </c>
      <c r="C204">
        <v>29</v>
      </c>
      <c r="D204" t="s">
        <v>31</v>
      </c>
      <c r="E204" t="s">
        <v>32</v>
      </c>
      <c r="F204" t="s">
        <v>55</v>
      </c>
      <c r="G204" t="s">
        <v>33</v>
      </c>
      <c r="H204" s="2">
        <v>44725</v>
      </c>
      <c r="I204" s="2" t="str">
        <f>IFERROR(VLOOKUP(HR_Employees[[#This Row],[Employee_ID]],'[1]Synthetic Exit Data'!$A$2:$E$235,4,0)," NA")</f>
        <v xml:space="preserve"> NA</v>
      </c>
      <c r="J204" t="s">
        <v>24</v>
      </c>
      <c r="K204">
        <v>4</v>
      </c>
      <c r="L204" s="3">
        <v>87731</v>
      </c>
      <c r="M204" t="s">
        <v>66</v>
      </c>
      <c r="N204" t="s">
        <v>50</v>
      </c>
      <c r="O204">
        <v>4.33</v>
      </c>
      <c r="P204" t="s">
        <v>51</v>
      </c>
      <c r="Q204" t="s">
        <v>28</v>
      </c>
      <c r="R204">
        <v>2022</v>
      </c>
      <c r="S204" t="str">
        <f>IF(AND(HR_Employees[[#This Row],[Attrition]]="YES",HR_Employees[[#This Row],[Exit_Date]]&lt;&gt;""),YEAR(HR_Employees[[#This Row],[Exit_Date]]),"")</f>
        <v/>
      </c>
    </row>
    <row r="205" spans="1:19">
      <c r="A205" t="s">
        <v>431</v>
      </c>
      <c r="B205" t="s">
        <v>432</v>
      </c>
      <c r="C205">
        <v>43</v>
      </c>
      <c r="D205" t="s">
        <v>61</v>
      </c>
      <c r="E205" t="s">
        <v>21</v>
      </c>
      <c r="F205" t="s">
        <v>47</v>
      </c>
      <c r="G205" t="s">
        <v>23</v>
      </c>
      <c r="H205" s="2">
        <v>44574</v>
      </c>
      <c r="I205" s="2" t="str">
        <f>IFERROR(VLOOKUP(HR_Employees[[#This Row],[Employee_ID]],'[1]Synthetic Exit Data'!$A$2:$E$235,4,0)," NA")</f>
        <v xml:space="preserve"> NA</v>
      </c>
      <c r="J205" t="s">
        <v>24</v>
      </c>
      <c r="K205">
        <v>5</v>
      </c>
      <c r="L205" s="3">
        <v>72724</v>
      </c>
      <c r="M205" t="s">
        <v>34</v>
      </c>
      <c r="N205" t="s">
        <v>50</v>
      </c>
      <c r="O205">
        <v>4.75</v>
      </c>
      <c r="P205" t="s">
        <v>57</v>
      </c>
      <c r="Q205" t="s">
        <v>76</v>
      </c>
      <c r="R205">
        <v>2022</v>
      </c>
      <c r="S205" t="str">
        <f>IF(AND(HR_Employees[[#This Row],[Attrition]]="YES",HR_Employees[[#This Row],[Exit_Date]]&lt;&gt;""),YEAR(HR_Employees[[#This Row],[Exit_Date]]),"")</f>
        <v/>
      </c>
    </row>
    <row r="206" spans="1:19">
      <c r="A206" t="s">
        <v>433</v>
      </c>
      <c r="B206" t="s">
        <v>417</v>
      </c>
      <c r="C206">
        <v>53</v>
      </c>
      <c r="D206" t="s">
        <v>20</v>
      </c>
      <c r="E206" t="s">
        <v>32</v>
      </c>
      <c r="F206" t="s">
        <v>47</v>
      </c>
      <c r="G206" t="s">
        <v>48</v>
      </c>
      <c r="H206" s="2">
        <v>44605</v>
      </c>
      <c r="I206" s="2" t="str">
        <f>IFERROR(VLOOKUP(HR_Employees[[#This Row],[Employee_ID]],'[1]Synthetic Exit Data'!$A$2:$E$235,4,0)," NA")</f>
        <v xml:space="preserve"> NA</v>
      </c>
      <c r="J206" t="s">
        <v>24</v>
      </c>
      <c r="K206">
        <v>3</v>
      </c>
      <c r="L206" s="3">
        <v>41044</v>
      </c>
      <c r="M206" t="s">
        <v>42</v>
      </c>
      <c r="N206" t="s">
        <v>50</v>
      </c>
      <c r="O206">
        <v>4.67</v>
      </c>
      <c r="P206" t="s">
        <v>125</v>
      </c>
      <c r="Q206" t="s">
        <v>58</v>
      </c>
      <c r="R206">
        <v>2022</v>
      </c>
      <c r="S206" t="str">
        <f>IF(AND(HR_Employees[[#This Row],[Attrition]]="YES",HR_Employees[[#This Row],[Exit_Date]]&lt;&gt;""),YEAR(HR_Employees[[#This Row],[Exit_Date]]),"")</f>
        <v/>
      </c>
    </row>
    <row r="207" spans="1:19">
      <c r="A207" t="s">
        <v>434</v>
      </c>
      <c r="B207" t="s">
        <v>435</v>
      </c>
      <c r="C207">
        <v>40</v>
      </c>
      <c r="D207" t="s">
        <v>61</v>
      </c>
      <c r="E207" t="s">
        <v>32</v>
      </c>
      <c r="F207" t="s">
        <v>47</v>
      </c>
      <c r="G207" t="s">
        <v>33</v>
      </c>
      <c r="H207" s="2">
        <v>44908</v>
      </c>
      <c r="I207" s="2" t="str">
        <f>IFERROR(VLOOKUP(HR_Employees[[#This Row],[Employee_ID]],'[1]Synthetic Exit Data'!$A$2:$E$235,4,0)," NA")</f>
        <v xml:space="preserve"> NA</v>
      </c>
      <c r="J207" t="s">
        <v>24</v>
      </c>
      <c r="K207">
        <v>4</v>
      </c>
      <c r="L207" s="3">
        <v>60717</v>
      </c>
      <c r="M207" t="s">
        <v>34</v>
      </c>
      <c r="N207" t="s">
        <v>50</v>
      </c>
      <c r="O207">
        <v>3.83</v>
      </c>
      <c r="P207" t="s">
        <v>35</v>
      </c>
      <c r="Q207" t="s">
        <v>28</v>
      </c>
      <c r="R207">
        <v>2022</v>
      </c>
      <c r="S207" t="str">
        <f>IF(AND(HR_Employees[[#This Row],[Attrition]]="YES",HR_Employees[[#This Row],[Exit_Date]]&lt;&gt;""),YEAR(HR_Employees[[#This Row],[Exit_Date]]),"")</f>
        <v/>
      </c>
    </row>
    <row r="208" spans="1:19">
      <c r="A208" t="s">
        <v>436</v>
      </c>
      <c r="B208" t="s">
        <v>309</v>
      </c>
      <c r="C208">
        <v>49</v>
      </c>
      <c r="D208" t="s">
        <v>20</v>
      </c>
      <c r="E208" t="s">
        <v>21</v>
      </c>
      <c r="F208" t="s">
        <v>47</v>
      </c>
      <c r="G208" t="s">
        <v>23</v>
      </c>
      <c r="H208" s="2">
        <v>46129</v>
      </c>
      <c r="I208" s="2" t="str">
        <f>IFERROR(VLOOKUP(HR_Employees[[#This Row],[Employee_ID]],'[1]Synthetic Exit Data'!$A$2:$E$235,4,0)," NA")</f>
        <v>2026-07-13</v>
      </c>
      <c r="J208" t="s">
        <v>49</v>
      </c>
      <c r="K208">
        <v>5</v>
      </c>
      <c r="L208" s="3">
        <v>108650</v>
      </c>
      <c r="M208" t="s">
        <v>25</v>
      </c>
      <c r="N208" t="s">
        <v>43</v>
      </c>
      <c r="O208">
        <v>0.42</v>
      </c>
      <c r="P208" t="s">
        <v>35</v>
      </c>
      <c r="Q208" t="s">
        <v>86</v>
      </c>
      <c r="R208">
        <v>2026</v>
      </c>
      <c r="S208">
        <f>IF(AND(HR_Employees[[#This Row],[Attrition]]="YES",HR_Employees[[#This Row],[Exit_Date]]&lt;&gt;""),YEAR(HR_Employees[[#This Row],[Exit_Date]]),"")</f>
        <v>2026</v>
      </c>
    </row>
    <row r="209" spans="1:19">
      <c r="A209" t="s">
        <v>437</v>
      </c>
      <c r="B209" t="s">
        <v>438</v>
      </c>
      <c r="C209">
        <v>44</v>
      </c>
      <c r="D209" t="s">
        <v>61</v>
      </c>
      <c r="E209" t="s">
        <v>21</v>
      </c>
      <c r="F209" t="s">
        <v>73</v>
      </c>
      <c r="G209" t="s">
        <v>23</v>
      </c>
      <c r="H209" s="2">
        <v>46155</v>
      </c>
      <c r="I209" s="2" t="str">
        <f>IFERROR(VLOOKUP(HR_Employees[[#This Row],[Employee_ID]],'[1]Synthetic Exit Data'!$A$2:$E$235,4,0)," NA")</f>
        <v xml:space="preserve"> NA</v>
      </c>
      <c r="J209" t="s">
        <v>24</v>
      </c>
      <c r="K209">
        <v>3</v>
      </c>
      <c r="L209" s="3">
        <v>19497</v>
      </c>
      <c r="M209" t="s">
        <v>82</v>
      </c>
      <c r="N209" t="s">
        <v>43</v>
      </c>
      <c r="O209">
        <v>0.42</v>
      </c>
      <c r="P209" t="s">
        <v>125</v>
      </c>
      <c r="Q209" t="s">
        <v>44</v>
      </c>
      <c r="R209">
        <v>2026</v>
      </c>
      <c r="S209" t="str">
        <f>IF(AND(HR_Employees[[#This Row],[Attrition]]="YES",HR_Employees[[#This Row],[Exit_Date]]&lt;&gt;""),YEAR(HR_Employees[[#This Row],[Exit_Date]]),"")</f>
        <v/>
      </c>
    </row>
    <row r="210" spans="1:19">
      <c r="A210" t="s">
        <v>439</v>
      </c>
      <c r="B210" t="s">
        <v>440</v>
      </c>
      <c r="C210">
        <v>25</v>
      </c>
      <c r="D210" t="s">
        <v>39</v>
      </c>
      <c r="E210" t="s">
        <v>21</v>
      </c>
      <c r="F210" t="s">
        <v>55</v>
      </c>
      <c r="G210" t="s">
        <v>23</v>
      </c>
      <c r="H210" s="2">
        <v>42321</v>
      </c>
      <c r="I210" s="2" t="str">
        <f>IFERROR(VLOOKUP(HR_Employees[[#This Row],[Employee_ID]],'[1]Synthetic Exit Data'!$A$2:$E$235,4,0)," NA")</f>
        <v xml:space="preserve"> NA</v>
      </c>
      <c r="J210" t="s">
        <v>24</v>
      </c>
      <c r="K210">
        <v>4</v>
      </c>
      <c r="L210" s="3">
        <v>42121</v>
      </c>
      <c r="M210" t="s">
        <v>42</v>
      </c>
      <c r="N210" t="s">
        <v>26</v>
      </c>
      <c r="O210">
        <v>10.92</v>
      </c>
      <c r="P210" t="s">
        <v>35</v>
      </c>
      <c r="Q210" t="s">
        <v>28</v>
      </c>
      <c r="R210">
        <v>2015</v>
      </c>
      <c r="S210" t="str">
        <f>IF(AND(HR_Employees[[#This Row],[Attrition]]="YES",HR_Employees[[#This Row],[Exit_Date]]&lt;&gt;""),YEAR(HR_Employees[[#This Row],[Exit_Date]]),"")</f>
        <v/>
      </c>
    </row>
    <row r="211" spans="1:19">
      <c r="A211" t="s">
        <v>441</v>
      </c>
      <c r="B211" t="s">
        <v>442</v>
      </c>
      <c r="C211">
        <v>24</v>
      </c>
      <c r="D211" t="s">
        <v>39</v>
      </c>
      <c r="E211" t="s">
        <v>21</v>
      </c>
      <c r="F211" t="s">
        <v>151</v>
      </c>
      <c r="G211" t="s">
        <v>23</v>
      </c>
      <c r="H211" s="2">
        <v>45770</v>
      </c>
      <c r="I211" s="2" t="str">
        <f>IFERROR(VLOOKUP(HR_Employees[[#This Row],[Employee_ID]],'[1]Synthetic Exit Data'!$A$2:$E$235,4,0)," NA")</f>
        <v>2025-08-30</v>
      </c>
      <c r="J211" t="s">
        <v>49</v>
      </c>
      <c r="K211">
        <v>3</v>
      </c>
      <c r="L211" s="3">
        <v>36235</v>
      </c>
      <c r="M211" t="s">
        <v>42</v>
      </c>
      <c r="N211" t="s">
        <v>56</v>
      </c>
      <c r="O211">
        <v>1.33</v>
      </c>
      <c r="P211" t="s">
        <v>57</v>
      </c>
      <c r="Q211" t="s">
        <v>62</v>
      </c>
      <c r="R211">
        <v>2025</v>
      </c>
      <c r="S211">
        <f>IF(AND(HR_Employees[[#This Row],[Attrition]]="YES",HR_Employees[[#This Row],[Exit_Date]]&lt;&gt;""),YEAR(HR_Employees[[#This Row],[Exit_Date]]),"")</f>
        <v>2025</v>
      </c>
    </row>
    <row r="212" spans="1:19">
      <c r="A212" t="s">
        <v>443</v>
      </c>
      <c r="B212" t="s">
        <v>444</v>
      </c>
      <c r="C212">
        <v>59</v>
      </c>
      <c r="D212" t="s">
        <v>54</v>
      </c>
      <c r="E212" t="s">
        <v>21</v>
      </c>
      <c r="F212" t="s">
        <v>55</v>
      </c>
      <c r="G212" t="s">
        <v>23</v>
      </c>
      <c r="H212" s="2">
        <v>44313</v>
      </c>
      <c r="I212" s="2" t="str">
        <f>IFERROR(VLOOKUP(HR_Employees[[#This Row],[Employee_ID]],'[1]Synthetic Exit Data'!$A$2:$E$235,4,0)," NA")</f>
        <v>2021-10-16</v>
      </c>
      <c r="J212" t="s">
        <v>49</v>
      </c>
      <c r="K212">
        <v>3</v>
      </c>
      <c r="L212" s="3">
        <v>72674</v>
      </c>
      <c r="M212" t="s">
        <v>34</v>
      </c>
      <c r="N212" t="s">
        <v>79</v>
      </c>
      <c r="O212">
        <v>5.33</v>
      </c>
      <c r="P212" t="s">
        <v>57</v>
      </c>
      <c r="Q212" t="s">
        <v>28</v>
      </c>
      <c r="R212">
        <v>2021</v>
      </c>
      <c r="S212">
        <f>IF(AND(HR_Employees[[#This Row],[Attrition]]="YES",HR_Employees[[#This Row],[Exit_Date]]&lt;&gt;""),YEAR(HR_Employees[[#This Row],[Exit_Date]]),"")</f>
        <v>2021</v>
      </c>
    </row>
    <row r="213" spans="1:19">
      <c r="A213" t="s">
        <v>445</v>
      </c>
      <c r="B213" t="s">
        <v>446</v>
      </c>
      <c r="C213">
        <v>52</v>
      </c>
      <c r="D213" t="s">
        <v>20</v>
      </c>
      <c r="E213" t="s">
        <v>21</v>
      </c>
      <c r="F213" t="s">
        <v>55</v>
      </c>
      <c r="G213" t="s">
        <v>23</v>
      </c>
      <c r="H213" s="2">
        <v>42351</v>
      </c>
      <c r="I213" s="2" t="str">
        <f>IFERROR(VLOOKUP(HR_Employees[[#This Row],[Employee_ID]],'[1]Synthetic Exit Data'!$A$2:$E$235,4,0)," NA")</f>
        <v xml:space="preserve"> NA</v>
      </c>
      <c r="J213" t="s">
        <v>24</v>
      </c>
      <c r="K213">
        <v>5</v>
      </c>
      <c r="L213" s="3">
        <v>21907</v>
      </c>
      <c r="M213" t="s">
        <v>82</v>
      </c>
      <c r="N213" t="s">
        <v>26</v>
      </c>
      <c r="O213">
        <v>10.83</v>
      </c>
      <c r="P213" t="s">
        <v>27</v>
      </c>
      <c r="Q213" t="s">
        <v>76</v>
      </c>
      <c r="R213">
        <v>2015</v>
      </c>
      <c r="S213" t="str">
        <f>IF(AND(HR_Employees[[#This Row],[Attrition]]="YES",HR_Employees[[#This Row],[Exit_Date]]&lt;&gt;""),YEAR(HR_Employees[[#This Row],[Exit_Date]]),"")</f>
        <v/>
      </c>
    </row>
    <row r="214" spans="1:19">
      <c r="A214" t="s">
        <v>447</v>
      </c>
      <c r="B214" t="s">
        <v>334</v>
      </c>
      <c r="C214">
        <v>25</v>
      </c>
      <c r="D214" t="s">
        <v>39</v>
      </c>
      <c r="E214" t="s">
        <v>21</v>
      </c>
      <c r="F214" t="s">
        <v>55</v>
      </c>
      <c r="G214" t="s">
        <v>33</v>
      </c>
      <c r="H214" s="2">
        <v>44513</v>
      </c>
      <c r="I214" s="2" t="str">
        <f>IFERROR(VLOOKUP(HR_Employees[[#This Row],[Employee_ID]],'[1]Synthetic Exit Data'!$A$2:$E$235,4,0)," NA")</f>
        <v xml:space="preserve"> NA</v>
      </c>
      <c r="J214" t="s">
        <v>24</v>
      </c>
      <c r="K214">
        <v>4</v>
      </c>
      <c r="L214" s="3">
        <v>96931</v>
      </c>
      <c r="M214" t="s">
        <v>66</v>
      </c>
      <c r="N214" t="s">
        <v>50</v>
      </c>
      <c r="O214">
        <v>4.92</v>
      </c>
      <c r="P214" t="s">
        <v>83</v>
      </c>
      <c r="Q214" t="s">
        <v>92</v>
      </c>
      <c r="R214">
        <v>2021</v>
      </c>
      <c r="S214" t="str">
        <f>IF(AND(HR_Employees[[#This Row],[Attrition]]="YES",HR_Employees[[#This Row],[Exit_Date]]&lt;&gt;""),YEAR(HR_Employees[[#This Row],[Exit_Date]]),"")</f>
        <v/>
      </c>
    </row>
    <row r="215" spans="1:19">
      <c r="A215" t="s">
        <v>448</v>
      </c>
      <c r="B215" t="s">
        <v>336</v>
      </c>
      <c r="C215">
        <v>29</v>
      </c>
      <c r="D215" t="s">
        <v>31</v>
      </c>
      <c r="E215" t="s">
        <v>32</v>
      </c>
      <c r="F215" t="s">
        <v>55</v>
      </c>
      <c r="G215" t="s">
        <v>23</v>
      </c>
      <c r="H215" s="2">
        <v>44839</v>
      </c>
      <c r="I215" s="2" t="str">
        <f>IFERROR(VLOOKUP(HR_Employees[[#This Row],[Employee_ID]],'[1]Synthetic Exit Data'!$A$2:$E$235,4,0)," NA")</f>
        <v>2023-12-23</v>
      </c>
      <c r="J215" t="s">
        <v>49</v>
      </c>
      <c r="K215">
        <v>3</v>
      </c>
      <c r="L215" s="3">
        <v>59119</v>
      </c>
      <c r="M215" t="s">
        <v>34</v>
      </c>
      <c r="N215" t="s">
        <v>50</v>
      </c>
      <c r="O215">
        <v>3.83</v>
      </c>
      <c r="P215" t="s">
        <v>51</v>
      </c>
      <c r="Q215" t="s">
        <v>28</v>
      </c>
      <c r="R215">
        <v>2022</v>
      </c>
      <c r="S215">
        <f>IF(AND(HR_Employees[[#This Row],[Attrition]]="YES",HR_Employees[[#This Row],[Exit_Date]]&lt;&gt;""),YEAR(HR_Employees[[#This Row],[Exit_Date]]),"")</f>
        <v>2023</v>
      </c>
    </row>
    <row r="216" spans="1:19">
      <c r="A216" t="s">
        <v>449</v>
      </c>
      <c r="B216" t="s">
        <v>450</v>
      </c>
      <c r="C216">
        <v>51</v>
      </c>
      <c r="D216" t="s">
        <v>20</v>
      </c>
      <c r="E216" t="s">
        <v>21</v>
      </c>
      <c r="F216" t="s">
        <v>151</v>
      </c>
      <c r="G216" t="s">
        <v>33</v>
      </c>
      <c r="H216" s="2">
        <v>45425</v>
      </c>
      <c r="I216" s="2" t="str">
        <f>IFERROR(VLOOKUP(HR_Employees[[#This Row],[Employee_ID]],'[1]Synthetic Exit Data'!$A$2:$E$235,4,0)," NA")</f>
        <v xml:space="preserve"> NA</v>
      </c>
      <c r="J216" t="s">
        <v>24</v>
      </c>
      <c r="K216">
        <v>3</v>
      </c>
      <c r="L216" s="3">
        <v>39386</v>
      </c>
      <c r="M216" t="s">
        <v>42</v>
      </c>
      <c r="N216" t="s">
        <v>56</v>
      </c>
      <c r="O216">
        <v>2.42</v>
      </c>
      <c r="P216" t="s">
        <v>125</v>
      </c>
      <c r="Q216" t="s">
        <v>76</v>
      </c>
      <c r="R216">
        <v>2024</v>
      </c>
      <c r="S216" t="str">
        <f>IF(AND(HR_Employees[[#This Row],[Attrition]]="YES",HR_Employees[[#This Row],[Exit_Date]]&lt;&gt;""),YEAR(HR_Employees[[#This Row],[Exit_Date]]),"")</f>
        <v/>
      </c>
    </row>
    <row r="217" spans="1:19">
      <c r="A217" t="s">
        <v>451</v>
      </c>
      <c r="B217" t="s">
        <v>70</v>
      </c>
      <c r="C217">
        <v>50</v>
      </c>
      <c r="D217" t="s">
        <v>20</v>
      </c>
      <c r="E217" t="s">
        <v>32</v>
      </c>
      <c r="F217" t="s">
        <v>47</v>
      </c>
      <c r="G217" t="s">
        <v>41</v>
      </c>
      <c r="H217" s="2">
        <v>46216</v>
      </c>
      <c r="I217" s="2" t="str">
        <f>IFERROR(VLOOKUP(HR_Employees[[#This Row],[Employee_ID]],'[1]Synthetic Exit Data'!$A$2:$E$235,4,0)," NA")</f>
        <v xml:space="preserve"> NA</v>
      </c>
      <c r="J217" t="s">
        <v>24</v>
      </c>
      <c r="K217">
        <v>4</v>
      </c>
      <c r="L217" s="3">
        <v>103892</v>
      </c>
      <c r="M217" t="s">
        <v>25</v>
      </c>
      <c r="N217" t="s">
        <v>43</v>
      </c>
      <c r="O217">
        <v>0.25</v>
      </c>
      <c r="P217" t="s">
        <v>27</v>
      </c>
      <c r="Q217" t="s">
        <v>36</v>
      </c>
      <c r="R217">
        <v>2026</v>
      </c>
      <c r="S217" t="str">
        <f>IF(AND(HR_Employees[[#This Row],[Attrition]]="YES",HR_Employees[[#This Row],[Exit_Date]]&lt;&gt;""),YEAR(HR_Employees[[#This Row],[Exit_Date]]),"")</f>
        <v/>
      </c>
    </row>
    <row r="218" spans="1:19">
      <c r="A218" t="s">
        <v>452</v>
      </c>
      <c r="B218" t="s">
        <v>144</v>
      </c>
      <c r="C218">
        <v>59</v>
      </c>
      <c r="D218" t="s">
        <v>54</v>
      </c>
      <c r="E218" t="s">
        <v>21</v>
      </c>
      <c r="F218" t="s">
        <v>47</v>
      </c>
      <c r="G218" t="s">
        <v>23</v>
      </c>
      <c r="H218" s="2">
        <v>44694</v>
      </c>
      <c r="I218" s="2" t="str">
        <f>IFERROR(VLOOKUP(HR_Employees[[#This Row],[Employee_ID]],'[1]Synthetic Exit Data'!$A$2:$E$235,4,0)," NA")</f>
        <v xml:space="preserve"> NA</v>
      </c>
      <c r="J218" t="s">
        <v>24</v>
      </c>
      <c r="K218">
        <v>3</v>
      </c>
      <c r="L218" s="3">
        <v>66648</v>
      </c>
      <c r="M218" t="s">
        <v>34</v>
      </c>
      <c r="N218" t="s">
        <v>50</v>
      </c>
      <c r="O218">
        <v>4.42</v>
      </c>
      <c r="P218" t="s">
        <v>51</v>
      </c>
      <c r="Q218" t="s">
        <v>28</v>
      </c>
      <c r="R218">
        <v>2022</v>
      </c>
      <c r="S218" t="str">
        <f>IF(AND(HR_Employees[[#This Row],[Attrition]]="YES",HR_Employees[[#This Row],[Exit_Date]]&lt;&gt;""),YEAR(HR_Employees[[#This Row],[Exit_Date]]),"")</f>
        <v/>
      </c>
    </row>
    <row r="219" spans="1:19">
      <c r="A219" t="s">
        <v>453</v>
      </c>
      <c r="B219" t="s">
        <v>454</v>
      </c>
      <c r="C219">
        <v>29</v>
      </c>
      <c r="D219" t="s">
        <v>31</v>
      </c>
      <c r="E219" t="s">
        <v>21</v>
      </c>
      <c r="F219" t="s">
        <v>65</v>
      </c>
      <c r="G219" t="s">
        <v>33</v>
      </c>
      <c r="H219" s="2">
        <v>42748</v>
      </c>
      <c r="I219" s="2" t="str">
        <f>IFERROR(VLOOKUP(HR_Employees[[#This Row],[Employee_ID]],'[1]Synthetic Exit Data'!$A$2:$E$235,4,0)," NA")</f>
        <v xml:space="preserve"> NA</v>
      </c>
      <c r="J219" t="s">
        <v>24</v>
      </c>
      <c r="K219">
        <v>5</v>
      </c>
      <c r="L219" s="3">
        <v>85746</v>
      </c>
      <c r="M219" t="s">
        <v>66</v>
      </c>
      <c r="N219" t="s">
        <v>79</v>
      </c>
      <c r="O219">
        <v>9.75</v>
      </c>
      <c r="P219" t="s">
        <v>27</v>
      </c>
      <c r="Q219" t="s">
        <v>86</v>
      </c>
      <c r="R219">
        <v>2017</v>
      </c>
      <c r="S219" t="str">
        <f>IF(AND(HR_Employees[[#This Row],[Attrition]]="YES",HR_Employees[[#This Row],[Exit_Date]]&lt;&gt;""),YEAR(HR_Employees[[#This Row],[Exit_Date]]),"")</f>
        <v/>
      </c>
    </row>
    <row r="220" spans="1:19">
      <c r="A220" t="s">
        <v>455</v>
      </c>
      <c r="B220" t="s">
        <v>229</v>
      </c>
      <c r="C220">
        <v>41</v>
      </c>
      <c r="D220" t="s">
        <v>61</v>
      </c>
      <c r="E220" t="s">
        <v>21</v>
      </c>
      <c r="F220" t="s">
        <v>47</v>
      </c>
      <c r="G220" t="s">
        <v>23</v>
      </c>
      <c r="H220" s="2">
        <v>45304</v>
      </c>
      <c r="I220" s="2" t="str">
        <f>IFERROR(VLOOKUP(HR_Employees[[#This Row],[Employee_ID]],'[1]Synthetic Exit Data'!$A$2:$E$235,4,0)," NA")</f>
        <v xml:space="preserve"> NA</v>
      </c>
      <c r="J220" t="s">
        <v>24</v>
      </c>
      <c r="K220">
        <v>4</v>
      </c>
      <c r="L220" s="3">
        <v>30116</v>
      </c>
      <c r="M220" t="s">
        <v>42</v>
      </c>
      <c r="N220" t="s">
        <v>56</v>
      </c>
      <c r="O220">
        <v>2.75</v>
      </c>
      <c r="P220" t="s">
        <v>51</v>
      </c>
      <c r="Q220" t="s">
        <v>36</v>
      </c>
      <c r="R220">
        <v>2024</v>
      </c>
      <c r="S220" t="str">
        <f>IF(AND(HR_Employees[[#This Row],[Attrition]]="YES",HR_Employees[[#This Row],[Exit_Date]]&lt;&gt;""),YEAR(HR_Employees[[#This Row],[Exit_Date]]),"")</f>
        <v/>
      </c>
    </row>
    <row r="221" spans="1:19">
      <c r="A221" t="s">
        <v>456</v>
      </c>
      <c r="B221" t="s">
        <v>457</v>
      </c>
      <c r="C221">
        <v>47</v>
      </c>
      <c r="D221" t="s">
        <v>20</v>
      </c>
      <c r="E221" t="s">
        <v>21</v>
      </c>
      <c r="F221" t="s">
        <v>40</v>
      </c>
      <c r="G221" t="s">
        <v>23</v>
      </c>
      <c r="H221" s="2">
        <v>42413</v>
      </c>
      <c r="I221" s="2" t="str">
        <f>IFERROR(VLOOKUP(HR_Employees[[#This Row],[Employee_ID]],'[1]Synthetic Exit Data'!$A$2:$E$235,4,0)," NA")</f>
        <v xml:space="preserve"> NA</v>
      </c>
      <c r="J221" t="s">
        <v>24</v>
      </c>
      <c r="K221">
        <v>5</v>
      </c>
      <c r="L221" s="3">
        <v>34245</v>
      </c>
      <c r="M221" t="s">
        <v>42</v>
      </c>
      <c r="N221" t="s">
        <v>26</v>
      </c>
      <c r="O221">
        <v>10.67</v>
      </c>
      <c r="P221" t="s">
        <v>51</v>
      </c>
      <c r="Q221" t="s">
        <v>28</v>
      </c>
      <c r="R221">
        <v>2016</v>
      </c>
      <c r="S221" t="str">
        <f>IF(AND(HR_Employees[[#This Row],[Attrition]]="YES",HR_Employees[[#This Row],[Exit_Date]]&lt;&gt;""),YEAR(HR_Employees[[#This Row],[Exit_Date]]),"")</f>
        <v/>
      </c>
    </row>
    <row r="222" spans="1:19">
      <c r="A222" t="s">
        <v>458</v>
      </c>
      <c r="B222" t="s">
        <v>459</v>
      </c>
      <c r="C222">
        <v>34</v>
      </c>
      <c r="D222" t="s">
        <v>31</v>
      </c>
      <c r="E222" t="s">
        <v>21</v>
      </c>
      <c r="F222" t="s">
        <v>151</v>
      </c>
      <c r="G222" t="s">
        <v>23</v>
      </c>
      <c r="H222" s="2">
        <v>45243</v>
      </c>
      <c r="I222" s="2" t="str">
        <f>IFERROR(VLOOKUP(HR_Employees[[#This Row],[Employee_ID]],'[1]Synthetic Exit Data'!$A$2:$E$235,4,0)," NA")</f>
        <v xml:space="preserve"> NA</v>
      </c>
      <c r="J222" t="s">
        <v>24</v>
      </c>
      <c r="K222">
        <v>4</v>
      </c>
      <c r="L222" s="3">
        <v>90535</v>
      </c>
      <c r="M222" t="s">
        <v>66</v>
      </c>
      <c r="N222" t="s">
        <v>56</v>
      </c>
      <c r="O222">
        <v>2.92</v>
      </c>
      <c r="P222" t="s">
        <v>27</v>
      </c>
      <c r="Q222" t="s">
        <v>62</v>
      </c>
      <c r="R222">
        <v>2023</v>
      </c>
      <c r="S222" t="str">
        <f>IF(AND(HR_Employees[[#This Row],[Attrition]]="YES",HR_Employees[[#This Row],[Exit_Date]]&lt;&gt;""),YEAR(HR_Employees[[#This Row],[Exit_Date]]),"")</f>
        <v/>
      </c>
    </row>
    <row r="223" spans="1:19">
      <c r="A223" t="s">
        <v>460</v>
      </c>
      <c r="B223" t="s">
        <v>181</v>
      </c>
      <c r="C223">
        <v>40</v>
      </c>
      <c r="D223" t="s">
        <v>61</v>
      </c>
      <c r="E223" t="s">
        <v>21</v>
      </c>
      <c r="F223" t="s">
        <v>109</v>
      </c>
      <c r="G223" t="s">
        <v>114</v>
      </c>
      <c r="H223" s="2">
        <v>40737</v>
      </c>
      <c r="I223" s="2" t="str">
        <f>IFERROR(VLOOKUP(HR_Employees[[#This Row],[Employee_ID]],'[1]Synthetic Exit Data'!$A$2:$E$235,4,0)," NA")</f>
        <v xml:space="preserve"> NA</v>
      </c>
      <c r="J223" t="s">
        <v>24</v>
      </c>
      <c r="K223">
        <v>5</v>
      </c>
      <c r="L223" s="3">
        <v>34293</v>
      </c>
      <c r="M223" t="s">
        <v>42</v>
      </c>
      <c r="N223" t="s">
        <v>26</v>
      </c>
      <c r="O223">
        <v>15.25</v>
      </c>
      <c r="P223" t="s">
        <v>27</v>
      </c>
      <c r="Q223" t="s">
        <v>86</v>
      </c>
      <c r="R223">
        <v>2011</v>
      </c>
      <c r="S223" t="str">
        <f>IF(AND(HR_Employees[[#This Row],[Attrition]]="YES",HR_Employees[[#This Row],[Exit_Date]]&lt;&gt;""),YEAR(HR_Employees[[#This Row],[Exit_Date]]),"")</f>
        <v/>
      </c>
    </row>
    <row r="224" spans="1:19">
      <c r="A224" t="s">
        <v>461</v>
      </c>
      <c r="B224" t="s">
        <v>462</v>
      </c>
      <c r="C224">
        <v>24</v>
      </c>
      <c r="D224" t="s">
        <v>39</v>
      </c>
      <c r="E224" t="s">
        <v>21</v>
      </c>
      <c r="F224" t="s">
        <v>22</v>
      </c>
      <c r="G224" t="s">
        <v>41</v>
      </c>
      <c r="H224" s="2">
        <v>45088</v>
      </c>
      <c r="I224" s="2" t="str">
        <f>IFERROR(VLOOKUP(HR_Employees[[#This Row],[Employee_ID]],'[1]Synthetic Exit Data'!$A$2:$E$235,4,0)," NA")</f>
        <v>2023-07-26</v>
      </c>
      <c r="J224" t="s">
        <v>49</v>
      </c>
      <c r="K224">
        <v>4</v>
      </c>
      <c r="L224" s="3">
        <v>76896</v>
      </c>
      <c r="M224" t="s">
        <v>66</v>
      </c>
      <c r="N224" t="s">
        <v>50</v>
      </c>
      <c r="O224">
        <v>3.25</v>
      </c>
      <c r="P224" t="s">
        <v>35</v>
      </c>
      <c r="Q224" t="s">
        <v>62</v>
      </c>
      <c r="R224">
        <v>2023</v>
      </c>
      <c r="S224">
        <f>IF(AND(HR_Employees[[#This Row],[Attrition]]="YES",HR_Employees[[#This Row],[Exit_Date]]&lt;&gt;""),YEAR(HR_Employees[[#This Row],[Exit_Date]]),"")</f>
        <v>2023</v>
      </c>
    </row>
    <row r="225" spans="1:19">
      <c r="A225" t="s">
        <v>463</v>
      </c>
      <c r="B225" t="s">
        <v>464</v>
      </c>
      <c r="C225">
        <v>21</v>
      </c>
      <c r="D225" t="s">
        <v>39</v>
      </c>
      <c r="E225" t="s">
        <v>32</v>
      </c>
      <c r="F225" t="s">
        <v>47</v>
      </c>
      <c r="G225" t="s">
        <v>114</v>
      </c>
      <c r="H225" s="2">
        <v>45916</v>
      </c>
      <c r="I225" s="2" t="str">
        <f>IFERROR(VLOOKUP(HR_Employees[[#This Row],[Employee_ID]],'[1]Synthetic Exit Data'!$A$2:$E$235,4,0)," NA")</f>
        <v>2025-11-30</v>
      </c>
      <c r="J225" t="s">
        <v>49</v>
      </c>
      <c r="K225">
        <v>2</v>
      </c>
      <c r="L225" s="3">
        <v>36419</v>
      </c>
      <c r="M225" t="s">
        <v>42</v>
      </c>
      <c r="N225" t="s">
        <v>43</v>
      </c>
      <c r="O225">
        <v>0.92</v>
      </c>
      <c r="P225" t="s">
        <v>27</v>
      </c>
      <c r="Q225" t="s">
        <v>86</v>
      </c>
      <c r="R225">
        <v>2025</v>
      </c>
      <c r="S225">
        <f>IF(AND(HR_Employees[[#This Row],[Attrition]]="YES",HR_Employees[[#This Row],[Exit_Date]]&lt;&gt;""),YEAR(HR_Employees[[#This Row],[Exit_Date]]),"")</f>
        <v>2025</v>
      </c>
    </row>
    <row r="226" spans="1:19">
      <c r="A226" t="s">
        <v>465</v>
      </c>
      <c r="B226" t="s">
        <v>185</v>
      </c>
      <c r="C226">
        <v>22</v>
      </c>
      <c r="D226" t="s">
        <v>39</v>
      </c>
      <c r="E226" t="s">
        <v>21</v>
      </c>
      <c r="F226" t="s">
        <v>47</v>
      </c>
      <c r="G226" t="s">
        <v>41</v>
      </c>
      <c r="H226" s="2">
        <v>45365</v>
      </c>
      <c r="I226" s="2" t="str">
        <f>IFERROR(VLOOKUP(HR_Employees[[#This Row],[Employee_ID]],'[1]Synthetic Exit Data'!$A$2:$E$235,4,0)," NA")</f>
        <v>2024-10-05</v>
      </c>
      <c r="J226" t="s">
        <v>49</v>
      </c>
      <c r="K226">
        <v>3</v>
      </c>
      <c r="L226" s="3">
        <v>70240</v>
      </c>
      <c r="M226" t="s">
        <v>34</v>
      </c>
      <c r="N226" t="s">
        <v>56</v>
      </c>
      <c r="O226">
        <v>2.42</v>
      </c>
      <c r="P226" t="s">
        <v>125</v>
      </c>
      <c r="Q226" t="s">
        <v>44</v>
      </c>
      <c r="R226">
        <v>2024</v>
      </c>
      <c r="S226">
        <f>IF(AND(HR_Employees[[#This Row],[Attrition]]="YES",HR_Employees[[#This Row],[Exit_Date]]&lt;&gt;""),YEAR(HR_Employees[[#This Row],[Exit_Date]]),"")</f>
        <v>2024</v>
      </c>
    </row>
    <row r="227" spans="1:19">
      <c r="A227" t="s">
        <v>466</v>
      </c>
      <c r="B227" t="s">
        <v>467</v>
      </c>
      <c r="C227">
        <v>23</v>
      </c>
      <c r="D227" t="s">
        <v>39</v>
      </c>
      <c r="E227" t="s">
        <v>32</v>
      </c>
      <c r="F227" t="s">
        <v>47</v>
      </c>
      <c r="G227" t="s">
        <v>48</v>
      </c>
      <c r="H227" s="2">
        <v>40525</v>
      </c>
      <c r="I227" s="2" t="str">
        <f>IFERROR(VLOOKUP(HR_Employees[[#This Row],[Employee_ID]],'[1]Synthetic Exit Data'!$A$2:$E$235,4,0)," NA")</f>
        <v xml:space="preserve"> NA</v>
      </c>
      <c r="J227" t="s">
        <v>24</v>
      </c>
      <c r="K227">
        <v>3</v>
      </c>
      <c r="L227" s="3">
        <v>26379</v>
      </c>
      <c r="M227" t="s">
        <v>82</v>
      </c>
      <c r="N227" t="s">
        <v>26</v>
      </c>
      <c r="O227">
        <v>15.83</v>
      </c>
      <c r="P227" t="s">
        <v>27</v>
      </c>
      <c r="Q227" t="s">
        <v>62</v>
      </c>
      <c r="R227">
        <v>2010</v>
      </c>
      <c r="S227" t="str">
        <f>IF(AND(HR_Employees[[#This Row],[Attrition]]="YES",HR_Employees[[#This Row],[Exit_Date]]&lt;&gt;""),YEAR(HR_Employees[[#This Row],[Exit_Date]]),"")</f>
        <v/>
      </c>
    </row>
    <row r="228" spans="1:19">
      <c r="A228" t="s">
        <v>468</v>
      </c>
      <c r="B228" t="s">
        <v>469</v>
      </c>
      <c r="C228">
        <v>53</v>
      </c>
      <c r="D228" t="s">
        <v>20</v>
      </c>
      <c r="E228" t="s">
        <v>32</v>
      </c>
      <c r="F228" t="s">
        <v>47</v>
      </c>
      <c r="G228" t="s">
        <v>114</v>
      </c>
      <c r="H228" s="2">
        <v>43082</v>
      </c>
      <c r="I228" s="2" t="str">
        <f>IFERROR(VLOOKUP(HR_Employees[[#This Row],[Employee_ID]],'[1]Synthetic Exit Data'!$A$2:$E$235,4,0)," NA")</f>
        <v xml:space="preserve"> NA</v>
      </c>
      <c r="J228" t="s">
        <v>24</v>
      </c>
      <c r="K228">
        <v>3</v>
      </c>
      <c r="L228" s="3">
        <v>71995</v>
      </c>
      <c r="M228" t="s">
        <v>34</v>
      </c>
      <c r="N228" t="s">
        <v>79</v>
      </c>
      <c r="O228">
        <v>8.83</v>
      </c>
      <c r="P228" t="s">
        <v>27</v>
      </c>
      <c r="Q228" t="s">
        <v>44</v>
      </c>
      <c r="R228">
        <v>2017</v>
      </c>
      <c r="S228" t="str">
        <f>IF(AND(HR_Employees[[#This Row],[Attrition]]="YES",HR_Employees[[#This Row],[Exit_Date]]&lt;&gt;""),YEAR(HR_Employees[[#This Row],[Exit_Date]]),"")</f>
        <v/>
      </c>
    </row>
    <row r="229" spans="1:19">
      <c r="A229" t="s">
        <v>470</v>
      </c>
      <c r="B229" t="s">
        <v>471</v>
      </c>
      <c r="C229">
        <v>44</v>
      </c>
      <c r="D229" t="s">
        <v>61</v>
      </c>
      <c r="E229" t="s">
        <v>21</v>
      </c>
      <c r="F229" t="s">
        <v>40</v>
      </c>
      <c r="G229" t="s">
        <v>23</v>
      </c>
      <c r="H229" s="2">
        <v>46155</v>
      </c>
      <c r="I229" s="2" t="str">
        <f>IFERROR(VLOOKUP(HR_Employees[[#This Row],[Employee_ID]],'[1]Synthetic Exit Data'!$A$2:$E$235,4,0)," NA")</f>
        <v xml:space="preserve"> NA</v>
      </c>
      <c r="J229" t="s">
        <v>24</v>
      </c>
      <c r="K229">
        <v>3</v>
      </c>
      <c r="L229" s="3">
        <v>56271</v>
      </c>
      <c r="M229" t="s">
        <v>34</v>
      </c>
      <c r="N229" t="s">
        <v>43</v>
      </c>
      <c r="O229">
        <v>0.42</v>
      </c>
      <c r="P229" t="s">
        <v>125</v>
      </c>
      <c r="Q229" t="s">
        <v>58</v>
      </c>
      <c r="R229">
        <v>2026</v>
      </c>
      <c r="S229" t="str">
        <f>IF(AND(HR_Employees[[#This Row],[Attrition]]="YES",HR_Employees[[#This Row],[Exit_Date]]&lt;&gt;""),YEAR(HR_Employees[[#This Row],[Exit_Date]]),"")</f>
        <v/>
      </c>
    </row>
    <row r="230" spans="1:19">
      <c r="A230" t="s">
        <v>472</v>
      </c>
      <c r="B230" t="s">
        <v>473</v>
      </c>
      <c r="C230">
        <v>35</v>
      </c>
      <c r="D230" t="s">
        <v>31</v>
      </c>
      <c r="E230" t="s">
        <v>21</v>
      </c>
      <c r="F230" t="s">
        <v>73</v>
      </c>
      <c r="G230" t="s">
        <v>33</v>
      </c>
      <c r="H230" s="2">
        <v>44633</v>
      </c>
      <c r="I230" s="2" t="str">
        <f>IFERROR(VLOOKUP(HR_Employees[[#This Row],[Employee_ID]],'[1]Synthetic Exit Data'!$A$2:$E$235,4,0)," NA")</f>
        <v xml:space="preserve"> NA</v>
      </c>
      <c r="J230" t="s">
        <v>24</v>
      </c>
      <c r="K230">
        <v>4</v>
      </c>
      <c r="L230" s="3">
        <v>42719</v>
      </c>
      <c r="M230" t="s">
        <v>42</v>
      </c>
      <c r="N230" t="s">
        <v>50</v>
      </c>
      <c r="O230">
        <v>4.58</v>
      </c>
      <c r="P230" t="s">
        <v>57</v>
      </c>
      <c r="Q230" t="s">
        <v>28</v>
      </c>
      <c r="R230">
        <v>2022</v>
      </c>
      <c r="S230" t="str">
        <f>IF(AND(HR_Employees[[#This Row],[Attrition]]="YES",HR_Employees[[#This Row],[Exit_Date]]&lt;&gt;""),YEAR(HR_Employees[[#This Row],[Exit_Date]]),"")</f>
        <v/>
      </c>
    </row>
    <row r="231" spans="1:19">
      <c r="A231" t="s">
        <v>474</v>
      </c>
      <c r="B231" t="s">
        <v>475</v>
      </c>
      <c r="C231">
        <v>53</v>
      </c>
      <c r="D231" t="s">
        <v>20</v>
      </c>
      <c r="E231" t="s">
        <v>32</v>
      </c>
      <c r="F231" t="s">
        <v>109</v>
      </c>
      <c r="G231" t="s">
        <v>41</v>
      </c>
      <c r="H231" s="2">
        <v>46099</v>
      </c>
      <c r="I231" s="2" t="str">
        <f>IFERROR(VLOOKUP(HR_Employees[[#This Row],[Employee_ID]],'[1]Synthetic Exit Data'!$A$2:$E$235,4,0)," NA")</f>
        <v>2026-10-10</v>
      </c>
      <c r="J231" t="s">
        <v>49</v>
      </c>
      <c r="K231">
        <v>5</v>
      </c>
      <c r="L231" s="3">
        <v>34238</v>
      </c>
      <c r="M231" t="s">
        <v>42</v>
      </c>
      <c r="N231" t="s">
        <v>43</v>
      </c>
      <c r="O231">
        <v>0.42</v>
      </c>
      <c r="P231" t="s">
        <v>125</v>
      </c>
      <c r="Q231" t="s">
        <v>76</v>
      </c>
      <c r="R231">
        <v>2026</v>
      </c>
      <c r="S231">
        <f>IF(AND(HR_Employees[[#This Row],[Attrition]]="YES",HR_Employees[[#This Row],[Exit_Date]]&lt;&gt;""),YEAR(HR_Employees[[#This Row],[Exit_Date]]),"")</f>
        <v>2026</v>
      </c>
    </row>
    <row r="232" spans="1:19">
      <c r="A232" t="s">
        <v>476</v>
      </c>
      <c r="B232" t="s">
        <v>471</v>
      </c>
      <c r="C232">
        <v>35</v>
      </c>
      <c r="D232" t="s">
        <v>31</v>
      </c>
      <c r="E232" t="s">
        <v>21</v>
      </c>
      <c r="F232" t="s">
        <v>47</v>
      </c>
      <c r="G232" t="s">
        <v>33</v>
      </c>
      <c r="H232" s="2">
        <v>45639</v>
      </c>
      <c r="I232" s="2" t="str">
        <f>IFERROR(VLOOKUP(HR_Employees[[#This Row],[Employee_ID]],'[1]Synthetic Exit Data'!$A$2:$E$235,4,0)," NA")</f>
        <v xml:space="preserve"> NA</v>
      </c>
      <c r="J232" t="s">
        <v>24</v>
      </c>
      <c r="K232">
        <v>3</v>
      </c>
      <c r="L232" s="3">
        <v>88533</v>
      </c>
      <c r="M232" t="s">
        <v>66</v>
      </c>
      <c r="N232" t="s">
        <v>56</v>
      </c>
      <c r="O232">
        <v>1.83</v>
      </c>
      <c r="P232" t="s">
        <v>57</v>
      </c>
      <c r="Q232" t="s">
        <v>58</v>
      </c>
      <c r="R232">
        <v>2024</v>
      </c>
      <c r="S232" t="str">
        <f>IF(AND(HR_Employees[[#This Row],[Attrition]]="YES",HR_Employees[[#This Row],[Exit_Date]]&lt;&gt;""),YEAR(HR_Employees[[#This Row],[Exit_Date]]),"")</f>
        <v/>
      </c>
    </row>
    <row r="233" spans="1:19">
      <c r="A233" t="s">
        <v>477</v>
      </c>
      <c r="B233" t="s">
        <v>150</v>
      </c>
      <c r="C233">
        <v>31</v>
      </c>
      <c r="D233" t="s">
        <v>31</v>
      </c>
      <c r="E233" t="s">
        <v>21</v>
      </c>
      <c r="F233" t="s">
        <v>47</v>
      </c>
      <c r="G233" t="s">
        <v>33</v>
      </c>
      <c r="H233" s="2">
        <v>41103</v>
      </c>
      <c r="I233" s="2" t="str">
        <f>IFERROR(VLOOKUP(HR_Employees[[#This Row],[Employee_ID]],'[1]Synthetic Exit Data'!$A$2:$E$235,4,0)," NA")</f>
        <v xml:space="preserve"> NA</v>
      </c>
      <c r="J233" t="s">
        <v>24</v>
      </c>
      <c r="K233">
        <v>3</v>
      </c>
      <c r="L233" s="3">
        <v>70519</v>
      </c>
      <c r="M233" t="s">
        <v>34</v>
      </c>
      <c r="N233" t="s">
        <v>26</v>
      </c>
      <c r="O233">
        <v>14.25</v>
      </c>
      <c r="P233" t="s">
        <v>35</v>
      </c>
      <c r="Q233" t="s">
        <v>36</v>
      </c>
      <c r="R233">
        <v>2012</v>
      </c>
      <c r="S233" t="str">
        <f>IF(AND(HR_Employees[[#This Row],[Attrition]]="YES",HR_Employees[[#This Row],[Exit_Date]]&lt;&gt;""),YEAR(HR_Employees[[#This Row],[Exit_Date]]),"")</f>
        <v/>
      </c>
    </row>
    <row r="234" spans="1:19">
      <c r="A234" t="s">
        <v>478</v>
      </c>
      <c r="B234" t="s">
        <v>479</v>
      </c>
      <c r="C234">
        <v>29</v>
      </c>
      <c r="D234" t="s">
        <v>31</v>
      </c>
      <c r="E234" t="s">
        <v>32</v>
      </c>
      <c r="F234" t="s">
        <v>47</v>
      </c>
      <c r="G234" t="s">
        <v>41</v>
      </c>
      <c r="H234" s="2">
        <v>46004</v>
      </c>
      <c r="I234" s="2" t="str">
        <f>IFERROR(VLOOKUP(HR_Employees[[#This Row],[Employee_ID]],'[1]Synthetic Exit Data'!$A$2:$E$235,4,0)," NA")</f>
        <v xml:space="preserve"> NA</v>
      </c>
      <c r="J234" t="s">
        <v>24</v>
      </c>
      <c r="K234">
        <v>3</v>
      </c>
      <c r="L234" s="3">
        <v>34832</v>
      </c>
      <c r="M234" t="s">
        <v>42</v>
      </c>
      <c r="N234" t="s">
        <v>43</v>
      </c>
      <c r="O234">
        <v>0.83</v>
      </c>
      <c r="P234" t="s">
        <v>57</v>
      </c>
      <c r="Q234" t="s">
        <v>62</v>
      </c>
      <c r="R234">
        <v>2025</v>
      </c>
      <c r="S234" t="str">
        <f>IF(AND(HR_Employees[[#This Row],[Attrition]]="YES",HR_Employees[[#This Row],[Exit_Date]]&lt;&gt;""),YEAR(HR_Employees[[#This Row],[Exit_Date]]),"")</f>
        <v/>
      </c>
    </row>
    <row r="235" spans="1:19">
      <c r="A235" t="s">
        <v>480</v>
      </c>
      <c r="B235" t="s">
        <v>446</v>
      </c>
      <c r="C235">
        <v>38</v>
      </c>
      <c r="D235" t="s">
        <v>61</v>
      </c>
      <c r="E235" t="s">
        <v>32</v>
      </c>
      <c r="F235" t="s">
        <v>73</v>
      </c>
      <c r="G235" t="s">
        <v>23</v>
      </c>
      <c r="H235" s="2">
        <v>43057</v>
      </c>
      <c r="I235" s="2" t="str">
        <f>IFERROR(VLOOKUP(HR_Employees[[#This Row],[Employee_ID]],'[1]Synthetic Exit Data'!$A$2:$E$235,4,0)," NA")</f>
        <v>2020-05-13</v>
      </c>
      <c r="J235" t="s">
        <v>49</v>
      </c>
      <c r="K235">
        <v>2</v>
      </c>
      <c r="L235" s="3">
        <v>67621</v>
      </c>
      <c r="M235" t="s">
        <v>34</v>
      </c>
      <c r="N235" t="s">
        <v>79</v>
      </c>
      <c r="O235">
        <v>8.75</v>
      </c>
      <c r="P235" t="s">
        <v>57</v>
      </c>
      <c r="Q235" t="s">
        <v>58</v>
      </c>
      <c r="R235">
        <v>2017</v>
      </c>
      <c r="S235">
        <f>IF(AND(HR_Employees[[#This Row],[Attrition]]="YES",HR_Employees[[#This Row],[Exit_Date]]&lt;&gt;""),YEAR(HR_Employees[[#This Row],[Exit_Date]]),"")</f>
        <v>2020</v>
      </c>
    </row>
    <row r="236" spans="1:19">
      <c r="A236" t="s">
        <v>481</v>
      </c>
      <c r="B236" t="s">
        <v>482</v>
      </c>
      <c r="C236">
        <v>30</v>
      </c>
      <c r="D236" t="s">
        <v>31</v>
      </c>
      <c r="E236" t="s">
        <v>32</v>
      </c>
      <c r="F236" t="s">
        <v>151</v>
      </c>
      <c r="G236" t="s">
        <v>23</v>
      </c>
      <c r="H236" s="2">
        <v>46125</v>
      </c>
      <c r="I236" s="2" t="str">
        <f>IFERROR(VLOOKUP(HR_Employees[[#This Row],[Employee_ID]],'[1]Synthetic Exit Data'!$A$2:$E$235,4,0)," NA")</f>
        <v xml:space="preserve"> NA</v>
      </c>
      <c r="J236" t="s">
        <v>24</v>
      </c>
      <c r="K236">
        <v>5</v>
      </c>
      <c r="L236" s="3">
        <v>28628</v>
      </c>
      <c r="M236" t="s">
        <v>82</v>
      </c>
      <c r="N236" t="s">
        <v>43</v>
      </c>
      <c r="O236">
        <v>0.5</v>
      </c>
      <c r="P236" t="s">
        <v>57</v>
      </c>
      <c r="Q236" t="s">
        <v>62</v>
      </c>
      <c r="R236">
        <v>2026</v>
      </c>
      <c r="S236" t="str">
        <f>IF(AND(HR_Employees[[#This Row],[Attrition]]="YES",HR_Employees[[#This Row],[Exit_Date]]&lt;&gt;""),YEAR(HR_Employees[[#This Row],[Exit_Date]]),"")</f>
        <v/>
      </c>
    </row>
    <row r="237" spans="1:19">
      <c r="A237" t="s">
        <v>483</v>
      </c>
      <c r="B237" t="s">
        <v>352</v>
      </c>
      <c r="C237">
        <v>37</v>
      </c>
      <c r="D237" t="s">
        <v>61</v>
      </c>
      <c r="E237" t="s">
        <v>32</v>
      </c>
      <c r="F237" t="s">
        <v>22</v>
      </c>
      <c r="G237" t="s">
        <v>41</v>
      </c>
      <c r="H237" s="2">
        <v>46094</v>
      </c>
      <c r="I237" s="2" t="str">
        <f>IFERROR(VLOOKUP(HR_Employees[[#This Row],[Employee_ID]],'[1]Synthetic Exit Data'!$A$2:$E$235,4,0)," NA")</f>
        <v>2026-08-13</v>
      </c>
      <c r="J237" t="s">
        <v>49</v>
      </c>
      <c r="K237">
        <v>2</v>
      </c>
      <c r="L237" s="3">
        <v>90371</v>
      </c>
      <c r="M237" t="s">
        <v>66</v>
      </c>
      <c r="N237" t="s">
        <v>43</v>
      </c>
      <c r="O237">
        <v>0.5</v>
      </c>
      <c r="P237" t="s">
        <v>57</v>
      </c>
      <c r="Q237" t="s">
        <v>44</v>
      </c>
      <c r="R237">
        <v>2026</v>
      </c>
      <c r="S237">
        <f>IF(AND(HR_Employees[[#This Row],[Attrition]]="YES",HR_Employees[[#This Row],[Exit_Date]]&lt;&gt;""),YEAR(HR_Employees[[#This Row],[Exit_Date]]),"")</f>
        <v>2026</v>
      </c>
    </row>
    <row r="238" spans="1:19">
      <c r="A238" t="s">
        <v>484</v>
      </c>
      <c r="B238" t="s">
        <v>171</v>
      </c>
      <c r="C238">
        <v>25</v>
      </c>
      <c r="D238" t="s">
        <v>39</v>
      </c>
      <c r="E238" t="s">
        <v>21</v>
      </c>
      <c r="F238" t="s">
        <v>47</v>
      </c>
      <c r="G238" t="s">
        <v>33</v>
      </c>
      <c r="H238" s="2">
        <v>43294</v>
      </c>
      <c r="I238" s="2" t="str">
        <f>IFERROR(VLOOKUP(HR_Employees[[#This Row],[Employee_ID]],'[1]Synthetic Exit Data'!$A$2:$E$235,4,0)," NA")</f>
        <v xml:space="preserve"> NA</v>
      </c>
      <c r="J238" t="s">
        <v>24</v>
      </c>
      <c r="K238">
        <v>5</v>
      </c>
      <c r="L238" s="3">
        <v>35278</v>
      </c>
      <c r="M238" t="s">
        <v>42</v>
      </c>
      <c r="N238" t="s">
        <v>79</v>
      </c>
      <c r="O238">
        <v>8.25</v>
      </c>
      <c r="P238" t="s">
        <v>83</v>
      </c>
      <c r="Q238" t="s">
        <v>86</v>
      </c>
      <c r="R238">
        <v>2018</v>
      </c>
      <c r="S238" t="str">
        <f>IF(AND(HR_Employees[[#This Row],[Attrition]]="YES",HR_Employees[[#This Row],[Exit_Date]]&lt;&gt;""),YEAR(HR_Employees[[#This Row],[Exit_Date]]),"")</f>
        <v/>
      </c>
    </row>
    <row r="239" spans="1:19">
      <c r="A239" t="s">
        <v>485</v>
      </c>
      <c r="B239" t="s">
        <v>231</v>
      </c>
      <c r="C239">
        <v>29</v>
      </c>
      <c r="D239" t="s">
        <v>31</v>
      </c>
      <c r="E239" t="s">
        <v>32</v>
      </c>
      <c r="F239" t="s">
        <v>151</v>
      </c>
      <c r="G239" t="s">
        <v>33</v>
      </c>
      <c r="H239" s="2">
        <v>46066</v>
      </c>
      <c r="I239" s="2" t="str">
        <f>IFERROR(VLOOKUP(HR_Employees[[#This Row],[Employee_ID]],'[1]Synthetic Exit Data'!$A$2:$E$235,4,0)," NA")</f>
        <v xml:space="preserve"> NA</v>
      </c>
      <c r="J239" t="s">
        <v>24</v>
      </c>
      <c r="K239">
        <v>4</v>
      </c>
      <c r="L239" s="3">
        <v>110321</v>
      </c>
      <c r="M239" t="s">
        <v>25</v>
      </c>
      <c r="N239" t="s">
        <v>43</v>
      </c>
      <c r="O239">
        <v>0.67</v>
      </c>
      <c r="P239" t="s">
        <v>27</v>
      </c>
      <c r="Q239" t="s">
        <v>44</v>
      </c>
      <c r="R239">
        <v>2026</v>
      </c>
      <c r="S239" t="str">
        <f>IF(AND(HR_Employees[[#This Row],[Attrition]]="YES",HR_Employees[[#This Row],[Exit_Date]]&lt;&gt;""),YEAR(HR_Employees[[#This Row],[Exit_Date]]),"")</f>
        <v/>
      </c>
    </row>
    <row r="240" spans="1:19">
      <c r="A240" t="s">
        <v>486</v>
      </c>
      <c r="B240" t="s">
        <v>487</v>
      </c>
      <c r="C240">
        <v>34</v>
      </c>
      <c r="D240" t="s">
        <v>31</v>
      </c>
      <c r="E240" t="s">
        <v>32</v>
      </c>
      <c r="F240" t="s">
        <v>55</v>
      </c>
      <c r="G240" t="s">
        <v>23</v>
      </c>
      <c r="H240" s="2">
        <v>44786</v>
      </c>
      <c r="I240" s="2" t="str">
        <f>IFERROR(VLOOKUP(HR_Employees[[#This Row],[Employee_ID]],'[1]Synthetic Exit Data'!$A$2:$E$235,4,0)," NA")</f>
        <v xml:space="preserve"> NA</v>
      </c>
      <c r="J240" t="s">
        <v>24</v>
      </c>
      <c r="K240">
        <v>4</v>
      </c>
      <c r="L240" s="3">
        <v>52583</v>
      </c>
      <c r="M240" t="s">
        <v>34</v>
      </c>
      <c r="N240" t="s">
        <v>50</v>
      </c>
      <c r="O240">
        <v>4.17</v>
      </c>
      <c r="P240" t="s">
        <v>83</v>
      </c>
      <c r="Q240" t="s">
        <v>28</v>
      </c>
      <c r="R240">
        <v>2022</v>
      </c>
      <c r="S240" t="str">
        <f>IF(AND(HR_Employees[[#This Row],[Attrition]]="YES",HR_Employees[[#This Row],[Exit_Date]]&lt;&gt;""),YEAR(HR_Employees[[#This Row],[Exit_Date]]),"")</f>
        <v/>
      </c>
    </row>
    <row r="241" spans="1:19">
      <c r="A241" t="s">
        <v>488</v>
      </c>
      <c r="B241" t="s">
        <v>489</v>
      </c>
      <c r="C241">
        <v>23</v>
      </c>
      <c r="D241" t="s">
        <v>39</v>
      </c>
      <c r="E241" t="s">
        <v>21</v>
      </c>
      <c r="F241" t="s">
        <v>55</v>
      </c>
      <c r="G241" t="s">
        <v>48</v>
      </c>
      <c r="H241" s="2">
        <v>46247</v>
      </c>
      <c r="I241" s="2" t="str">
        <f>IFERROR(VLOOKUP(HR_Employees[[#This Row],[Employee_ID]],'[1]Synthetic Exit Data'!$A$2:$E$235,4,0)," NA")</f>
        <v xml:space="preserve"> NA</v>
      </c>
      <c r="J241" t="s">
        <v>24</v>
      </c>
      <c r="K241">
        <v>2</v>
      </c>
      <c r="L241" s="3">
        <v>22180</v>
      </c>
      <c r="M241" t="s">
        <v>82</v>
      </c>
      <c r="N241" t="s">
        <v>43</v>
      </c>
      <c r="O241">
        <v>0.17</v>
      </c>
      <c r="P241" t="s">
        <v>125</v>
      </c>
      <c r="Q241" t="s">
        <v>36</v>
      </c>
      <c r="R241">
        <v>2026</v>
      </c>
      <c r="S241" t="str">
        <f>IF(AND(HR_Employees[[#This Row],[Attrition]]="YES",HR_Employees[[#This Row],[Exit_Date]]&lt;&gt;""),YEAR(HR_Employees[[#This Row],[Exit_Date]]),"")</f>
        <v/>
      </c>
    </row>
    <row r="242" spans="1:19">
      <c r="A242" t="s">
        <v>490</v>
      </c>
      <c r="B242" t="s">
        <v>284</v>
      </c>
      <c r="C242">
        <v>34</v>
      </c>
      <c r="D242" t="s">
        <v>31</v>
      </c>
      <c r="E242" t="s">
        <v>32</v>
      </c>
      <c r="F242" t="s">
        <v>47</v>
      </c>
      <c r="G242" t="s">
        <v>23</v>
      </c>
      <c r="H242" s="2">
        <v>46079</v>
      </c>
      <c r="I242" s="2" t="str">
        <f>IFERROR(VLOOKUP(HR_Employees[[#This Row],[Employee_ID]],'[1]Synthetic Exit Data'!$A$2:$E$235,4,0)," NA")</f>
        <v>2026-05-10</v>
      </c>
      <c r="J242" t="s">
        <v>49</v>
      </c>
      <c r="K242">
        <v>3</v>
      </c>
      <c r="L242" s="3">
        <v>26701</v>
      </c>
      <c r="M242" t="s">
        <v>82</v>
      </c>
      <c r="N242" t="s">
        <v>43</v>
      </c>
      <c r="O242">
        <v>0.5</v>
      </c>
      <c r="P242" t="s">
        <v>35</v>
      </c>
      <c r="Q242" t="s">
        <v>36</v>
      </c>
      <c r="R242">
        <v>2026</v>
      </c>
      <c r="S242">
        <f>IF(AND(HR_Employees[[#This Row],[Attrition]]="YES",HR_Employees[[#This Row],[Exit_Date]]&lt;&gt;""),YEAR(HR_Employees[[#This Row],[Exit_Date]]),"")</f>
        <v>2026</v>
      </c>
    </row>
    <row r="243" spans="1:19">
      <c r="A243" t="s">
        <v>491</v>
      </c>
      <c r="B243" t="s">
        <v>90</v>
      </c>
      <c r="C243">
        <v>41</v>
      </c>
      <c r="D243" t="s">
        <v>61</v>
      </c>
      <c r="E243" t="s">
        <v>21</v>
      </c>
      <c r="F243" t="s">
        <v>40</v>
      </c>
      <c r="G243" t="s">
        <v>23</v>
      </c>
      <c r="H243" s="2">
        <v>45238</v>
      </c>
      <c r="I243" s="2" t="str">
        <f>IFERROR(VLOOKUP(HR_Employees[[#This Row],[Employee_ID]],'[1]Synthetic Exit Data'!$A$2:$E$235,4,0)," NA")</f>
        <v>2023-11-13</v>
      </c>
      <c r="J243" t="s">
        <v>49</v>
      </c>
      <c r="K243">
        <v>2</v>
      </c>
      <c r="L243" s="3">
        <v>18239</v>
      </c>
      <c r="M243" t="s">
        <v>82</v>
      </c>
      <c r="N243" t="s">
        <v>56</v>
      </c>
      <c r="O243">
        <v>2.92</v>
      </c>
      <c r="P243" t="s">
        <v>51</v>
      </c>
      <c r="Q243" t="s">
        <v>58</v>
      </c>
      <c r="R243">
        <v>2023</v>
      </c>
      <c r="S243">
        <f>IF(AND(HR_Employees[[#This Row],[Attrition]]="YES",HR_Employees[[#This Row],[Exit_Date]]&lt;&gt;""),YEAR(HR_Employees[[#This Row],[Exit_Date]]),"")</f>
        <v>2023</v>
      </c>
    </row>
    <row r="244" spans="1:19">
      <c r="A244" t="s">
        <v>492</v>
      </c>
      <c r="B244" t="s">
        <v>493</v>
      </c>
      <c r="C244">
        <v>53</v>
      </c>
      <c r="D244" t="s">
        <v>20</v>
      </c>
      <c r="E244" t="s">
        <v>21</v>
      </c>
      <c r="F244" t="s">
        <v>65</v>
      </c>
      <c r="G244" t="s">
        <v>23</v>
      </c>
      <c r="H244" s="2">
        <v>46278</v>
      </c>
      <c r="I244" s="2" t="str">
        <f>IFERROR(VLOOKUP(HR_Employees[[#This Row],[Employee_ID]],'[1]Synthetic Exit Data'!$A$2:$E$235,4,0)," NA")</f>
        <v xml:space="preserve"> NA</v>
      </c>
      <c r="J244" t="s">
        <v>24</v>
      </c>
      <c r="K244">
        <v>3</v>
      </c>
      <c r="L244" s="3">
        <v>153212</v>
      </c>
      <c r="M244" t="s">
        <v>25</v>
      </c>
      <c r="N244" t="s">
        <v>43</v>
      </c>
      <c r="O244">
        <v>0.08</v>
      </c>
      <c r="P244" t="s">
        <v>35</v>
      </c>
      <c r="Q244" t="s">
        <v>92</v>
      </c>
      <c r="R244">
        <v>2026</v>
      </c>
      <c r="S244" t="str">
        <f>IF(AND(HR_Employees[[#This Row],[Attrition]]="YES",HR_Employees[[#This Row],[Exit_Date]]&lt;&gt;""),YEAR(HR_Employees[[#This Row],[Exit_Date]]),"")</f>
        <v/>
      </c>
    </row>
    <row r="245" spans="1:19">
      <c r="A245" t="s">
        <v>494</v>
      </c>
      <c r="B245" t="s">
        <v>495</v>
      </c>
      <c r="C245">
        <v>38</v>
      </c>
      <c r="D245" t="s">
        <v>61</v>
      </c>
      <c r="E245" t="s">
        <v>32</v>
      </c>
      <c r="F245" t="s">
        <v>73</v>
      </c>
      <c r="G245" t="s">
        <v>33</v>
      </c>
      <c r="H245" s="2">
        <v>44605</v>
      </c>
      <c r="I245" s="2" t="str">
        <f>IFERROR(VLOOKUP(HR_Employees[[#This Row],[Employee_ID]],'[1]Synthetic Exit Data'!$A$2:$E$235,4,0)," NA")</f>
        <v xml:space="preserve"> NA</v>
      </c>
      <c r="J245" t="s">
        <v>24</v>
      </c>
      <c r="K245">
        <v>3</v>
      </c>
      <c r="L245" s="3">
        <v>92815</v>
      </c>
      <c r="M245" t="s">
        <v>66</v>
      </c>
      <c r="N245" t="s">
        <v>50</v>
      </c>
      <c r="O245">
        <v>4.67</v>
      </c>
      <c r="P245" t="s">
        <v>35</v>
      </c>
      <c r="Q245" t="s">
        <v>58</v>
      </c>
      <c r="R245">
        <v>2022</v>
      </c>
      <c r="S245" t="str">
        <f>IF(AND(HR_Employees[[#This Row],[Attrition]]="YES",HR_Employees[[#This Row],[Exit_Date]]&lt;&gt;""),YEAR(HR_Employees[[#This Row],[Exit_Date]]),"")</f>
        <v/>
      </c>
    </row>
    <row r="246" spans="1:19">
      <c r="A246" t="s">
        <v>496</v>
      </c>
      <c r="B246" t="s">
        <v>181</v>
      </c>
      <c r="C246">
        <v>55</v>
      </c>
      <c r="D246" t="s">
        <v>20</v>
      </c>
      <c r="E246" t="s">
        <v>21</v>
      </c>
      <c r="F246" t="s">
        <v>40</v>
      </c>
      <c r="G246" t="s">
        <v>23</v>
      </c>
      <c r="H246" s="2">
        <v>45670</v>
      </c>
      <c r="I246" s="2" t="str">
        <f>IFERROR(VLOOKUP(HR_Employees[[#This Row],[Employee_ID]],'[1]Synthetic Exit Data'!$A$2:$E$235,4,0)," NA")</f>
        <v xml:space="preserve"> NA</v>
      </c>
      <c r="J246" t="s">
        <v>24</v>
      </c>
      <c r="K246">
        <v>4</v>
      </c>
      <c r="L246" s="3">
        <v>41956</v>
      </c>
      <c r="M246" t="s">
        <v>42</v>
      </c>
      <c r="N246" t="s">
        <v>56</v>
      </c>
      <c r="O246">
        <v>1.75</v>
      </c>
      <c r="P246" t="s">
        <v>57</v>
      </c>
      <c r="Q246" t="s">
        <v>36</v>
      </c>
      <c r="R246">
        <v>2025</v>
      </c>
      <c r="S246" t="str">
        <f>IF(AND(HR_Employees[[#This Row],[Attrition]]="YES",HR_Employees[[#This Row],[Exit_Date]]&lt;&gt;""),YEAR(HR_Employees[[#This Row],[Exit_Date]]),"")</f>
        <v/>
      </c>
    </row>
    <row r="247" spans="1:19">
      <c r="A247" t="s">
        <v>497</v>
      </c>
      <c r="B247" t="s">
        <v>96</v>
      </c>
      <c r="C247">
        <v>29</v>
      </c>
      <c r="D247" t="s">
        <v>31</v>
      </c>
      <c r="E247" t="s">
        <v>21</v>
      </c>
      <c r="F247" t="s">
        <v>47</v>
      </c>
      <c r="G247" t="s">
        <v>23</v>
      </c>
      <c r="H247" s="2">
        <v>40980</v>
      </c>
      <c r="I247" s="2" t="str">
        <f>IFERROR(VLOOKUP(HR_Employees[[#This Row],[Employee_ID]],'[1]Synthetic Exit Data'!$A$2:$E$235,4,0)," NA")</f>
        <v>2016-10-22</v>
      </c>
      <c r="J247" t="s">
        <v>49</v>
      </c>
      <c r="K247">
        <v>3</v>
      </c>
      <c r="L247" s="3">
        <v>50666</v>
      </c>
      <c r="M247" t="s">
        <v>34</v>
      </c>
      <c r="N247" t="s">
        <v>26</v>
      </c>
      <c r="O247">
        <v>14.42</v>
      </c>
      <c r="P247" t="s">
        <v>27</v>
      </c>
      <c r="Q247" t="s">
        <v>86</v>
      </c>
      <c r="R247">
        <v>2012</v>
      </c>
      <c r="S247">
        <f>IF(AND(HR_Employees[[#This Row],[Attrition]]="YES",HR_Employees[[#This Row],[Exit_Date]]&lt;&gt;""),YEAR(HR_Employees[[#This Row],[Exit_Date]]),"")</f>
        <v>2016</v>
      </c>
    </row>
    <row r="248" spans="1:19">
      <c r="A248" t="s">
        <v>498</v>
      </c>
      <c r="B248" t="s">
        <v>499</v>
      </c>
      <c r="C248">
        <v>42</v>
      </c>
      <c r="D248" t="s">
        <v>61</v>
      </c>
      <c r="E248" t="s">
        <v>32</v>
      </c>
      <c r="F248" t="s">
        <v>73</v>
      </c>
      <c r="G248" t="s">
        <v>23</v>
      </c>
      <c r="H248" s="2">
        <v>45900</v>
      </c>
      <c r="I248" s="2" t="str">
        <f>IFERROR(VLOOKUP(HR_Employees[[#This Row],[Employee_ID]],'[1]Synthetic Exit Data'!$A$2:$E$235,4,0)," NA")</f>
        <v>2025-09-12</v>
      </c>
      <c r="J248" t="s">
        <v>49</v>
      </c>
      <c r="K248">
        <v>5</v>
      </c>
      <c r="L248" s="3">
        <v>27178</v>
      </c>
      <c r="M248" t="s">
        <v>82</v>
      </c>
      <c r="N248" t="s">
        <v>43</v>
      </c>
      <c r="O248">
        <v>1</v>
      </c>
      <c r="P248" t="s">
        <v>51</v>
      </c>
      <c r="Q248" t="s">
        <v>28</v>
      </c>
      <c r="R248">
        <v>2025</v>
      </c>
      <c r="S248">
        <f>IF(AND(HR_Employees[[#This Row],[Attrition]]="YES",HR_Employees[[#This Row],[Exit_Date]]&lt;&gt;""),YEAR(HR_Employees[[#This Row],[Exit_Date]]),"")</f>
        <v>2025</v>
      </c>
    </row>
    <row r="249" spans="1:19">
      <c r="A249" t="s">
        <v>500</v>
      </c>
      <c r="B249" t="s">
        <v>501</v>
      </c>
      <c r="C249">
        <v>37</v>
      </c>
      <c r="D249" t="s">
        <v>61</v>
      </c>
      <c r="E249" t="s">
        <v>21</v>
      </c>
      <c r="F249" t="s">
        <v>109</v>
      </c>
      <c r="G249" t="s">
        <v>33</v>
      </c>
      <c r="H249" s="2">
        <v>44178</v>
      </c>
      <c r="I249" s="2" t="str">
        <f>IFERROR(VLOOKUP(HR_Employees[[#This Row],[Employee_ID]],'[1]Synthetic Exit Data'!$A$2:$E$235,4,0)," NA")</f>
        <v xml:space="preserve"> NA</v>
      </c>
      <c r="J249" t="s">
        <v>24</v>
      </c>
      <c r="K249">
        <v>4</v>
      </c>
      <c r="L249" s="3">
        <v>38250</v>
      </c>
      <c r="M249" t="s">
        <v>42</v>
      </c>
      <c r="N249" t="s">
        <v>79</v>
      </c>
      <c r="O249">
        <v>5.83</v>
      </c>
      <c r="P249" t="s">
        <v>35</v>
      </c>
      <c r="Q249" t="s">
        <v>76</v>
      </c>
      <c r="R249">
        <v>2020</v>
      </c>
      <c r="S249" t="str">
        <f>IF(AND(HR_Employees[[#This Row],[Attrition]]="YES",HR_Employees[[#This Row],[Exit_Date]]&lt;&gt;""),YEAR(HR_Employees[[#This Row],[Exit_Date]]),"")</f>
        <v/>
      </c>
    </row>
    <row r="250" spans="1:19">
      <c r="A250" t="s">
        <v>502</v>
      </c>
      <c r="B250" t="s">
        <v>503</v>
      </c>
      <c r="C250">
        <v>21</v>
      </c>
      <c r="D250" t="s">
        <v>39</v>
      </c>
      <c r="E250" t="s">
        <v>21</v>
      </c>
      <c r="F250" t="s">
        <v>40</v>
      </c>
      <c r="G250" t="s">
        <v>48</v>
      </c>
      <c r="H250" s="2">
        <v>45364</v>
      </c>
      <c r="I250" s="2" t="str">
        <f>IFERROR(VLOOKUP(HR_Employees[[#This Row],[Employee_ID]],'[1]Synthetic Exit Data'!$A$2:$E$235,4,0)," NA")</f>
        <v xml:space="preserve"> NA</v>
      </c>
      <c r="J250" t="s">
        <v>24</v>
      </c>
      <c r="K250">
        <v>4</v>
      </c>
      <c r="L250" s="3">
        <v>40018</v>
      </c>
      <c r="M250" t="s">
        <v>42</v>
      </c>
      <c r="N250" t="s">
        <v>56</v>
      </c>
      <c r="O250">
        <v>2.58</v>
      </c>
      <c r="P250" t="s">
        <v>27</v>
      </c>
      <c r="Q250" t="s">
        <v>58</v>
      </c>
      <c r="R250">
        <v>2024</v>
      </c>
      <c r="S250" t="str">
        <f>IF(AND(HR_Employees[[#This Row],[Attrition]]="YES",HR_Employees[[#This Row],[Exit_Date]]&lt;&gt;""),YEAR(HR_Employees[[#This Row],[Exit_Date]]),"")</f>
        <v/>
      </c>
    </row>
    <row r="251" spans="1:19">
      <c r="A251" t="s">
        <v>504</v>
      </c>
      <c r="B251" t="s">
        <v>505</v>
      </c>
      <c r="C251">
        <v>56</v>
      </c>
      <c r="D251" t="s">
        <v>54</v>
      </c>
      <c r="E251" t="s">
        <v>21</v>
      </c>
      <c r="F251" t="s">
        <v>22</v>
      </c>
      <c r="G251" t="s">
        <v>41</v>
      </c>
      <c r="H251" s="2">
        <v>42779</v>
      </c>
      <c r="I251" s="2" t="str">
        <f>IFERROR(VLOOKUP(HR_Employees[[#This Row],[Employee_ID]],'[1]Synthetic Exit Data'!$A$2:$E$235,4,0)," NA")</f>
        <v xml:space="preserve"> NA</v>
      </c>
      <c r="J251" t="s">
        <v>24</v>
      </c>
      <c r="K251">
        <v>3</v>
      </c>
      <c r="L251" s="3">
        <v>98676</v>
      </c>
      <c r="M251" t="s">
        <v>66</v>
      </c>
      <c r="N251" t="s">
        <v>79</v>
      </c>
      <c r="O251">
        <v>9.67</v>
      </c>
      <c r="P251" t="s">
        <v>125</v>
      </c>
      <c r="Q251" t="s">
        <v>76</v>
      </c>
      <c r="R251">
        <v>2017</v>
      </c>
      <c r="S251" t="str">
        <f>IF(AND(HR_Employees[[#This Row],[Attrition]]="YES",HR_Employees[[#This Row],[Exit_Date]]&lt;&gt;""),YEAR(HR_Employees[[#This Row],[Exit_Date]]),"")</f>
        <v/>
      </c>
    </row>
    <row r="252" spans="1:19">
      <c r="A252" t="s">
        <v>506</v>
      </c>
      <c r="B252" t="s">
        <v>507</v>
      </c>
      <c r="C252">
        <v>44</v>
      </c>
      <c r="D252" t="s">
        <v>61</v>
      </c>
      <c r="E252" t="s">
        <v>32</v>
      </c>
      <c r="F252" t="s">
        <v>47</v>
      </c>
      <c r="G252" t="s">
        <v>23</v>
      </c>
      <c r="H252" s="2">
        <v>44908</v>
      </c>
      <c r="I252" s="2" t="str">
        <f>IFERROR(VLOOKUP(HR_Employees[[#This Row],[Employee_ID]],'[1]Synthetic Exit Data'!$A$2:$E$235,4,0)," NA")</f>
        <v xml:space="preserve"> NA</v>
      </c>
      <c r="J252" t="s">
        <v>24</v>
      </c>
      <c r="K252">
        <v>2</v>
      </c>
      <c r="L252" s="3">
        <v>32124</v>
      </c>
      <c r="M252" t="s">
        <v>42</v>
      </c>
      <c r="N252" t="s">
        <v>50</v>
      </c>
      <c r="O252">
        <v>3.83</v>
      </c>
      <c r="P252" t="s">
        <v>35</v>
      </c>
      <c r="Q252" t="s">
        <v>36</v>
      </c>
      <c r="R252">
        <v>2022</v>
      </c>
      <c r="S252" t="str">
        <f>IF(AND(HR_Employees[[#This Row],[Attrition]]="YES",HR_Employees[[#This Row],[Exit_Date]]&lt;&gt;""),YEAR(HR_Employees[[#This Row],[Exit_Date]]),"")</f>
        <v/>
      </c>
    </row>
    <row r="253" spans="1:19">
      <c r="A253" t="s">
        <v>508</v>
      </c>
      <c r="B253" t="s">
        <v>177</v>
      </c>
      <c r="C253">
        <v>49</v>
      </c>
      <c r="D253" t="s">
        <v>20</v>
      </c>
      <c r="E253" t="s">
        <v>32</v>
      </c>
      <c r="F253" t="s">
        <v>65</v>
      </c>
      <c r="G253" t="s">
        <v>23</v>
      </c>
      <c r="H253" s="2">
        <v>45273</v>
      </c>
      <c r="I253" s="2" t="str">
        <f>IFERROR(VLOOKUP(HR_Employees[[#This Row],[Employee_ID]],'[1]Synthetic Exit Data'!$A$2:$E$235,4,0)," NA")</f>
        <v xml:space="preserve"> NA</v>
      </c>
      <c r="J253" t="s">
        <v>24</v>
      </c>
      <c r="K253">
        <v>3</v>
      </c>
      <c r="L253" s="3">
        <v>35769</v>
      </c>
      <c r="M253" t="s">
        <v>42</v>
      </c>
      <c r="N253" t="s">
        <v>56</v>
      </c>
      <c r="O253">
        <v>2.83</v>
      </c>
      <c r="P253" t="s">
        <v>51</v>
      </c>
      <c r="Q253" t="s">
        <v>58</v>
      </c>
      <c r="R253">
        <v>2023</v>
      </c>
      <c r="S253" t="str">
        <f>IF(AND(HR_Employees[[#This Row],[Attrition]]="YES",HR_Employees[[#This Row],[Exit_Date]]&lt;&gt;""),YEAR(HR_Employees[[#This Row],[Exit_Date]]),"")</f>
        <v/>
      </c>
    </row>
    <row r="254" spans="1:19">
      <c r="A254" t="s">
        <v>509</v>
      </c>
      <c r="B254" t="s">
        <v>510</v>
      </c>
      <c r="C254">
        <v>30</v>
      </c>
      <c r="D254" t="s">
        <v>31</v>
      </c>
      <c r="E254" t="s">
        <v>21</v>
      </c>
      <c r="F254" t="s">
        <v>47</v>
      </c>
      <c r="G254" t="s">
        <v>33</v>
      </c>
      <c r="H254" s="2">
        <v>45304</v>
      </c>
      <c r="I254" s="2" t="str">
        <f>IFERROR(VLOOKUP(HR_Employees[[#This Row],[Employee_ID]],'[1]Synthetic Exit Data'!$A$2:$E$235,4,0)," NA")</f>
        <v xml:space="preserve"> NA</v>
      </c>
      <c r="J254" t="s">
        <v>24</v>
      </c>
      <c r="K254">
        <v>3</v>
      </c>
      <c r="L254" s="3">
        <v>67643</v>
      </c>
      <c r="M254" t="s">
        <v>34</v>
      </c>
      <c r="N254" t="s">
        <v>56</v>
      </c>
      <c r="O254">
        <v>2.75</v>
      </c>
      <c r="P254" t="s">
        <v>57</v>
      </c>
      <c r="Q254" t="s">
        <v>62</v>
      </c>
      <c r="R254">
        <v>2024</v>
      </c>
      <c r="S254" t="str">
        <f>IF(AND(HR_Employees[[#This Row],[Attrition]]="YES",HR_Employees[[#This Row],[Exit_Date]]&lt;&gt;""),YEAR(HR_Employees[[#This Row],[Exit_Date]]),"")</f>
        <v/>
      </c>
    </row>
    <row r="255" spans="1:19">
      <c r="A255" t="s">
        <v>511</v>
      </c>
      <c r="B255" t="s">
        <v>368</v>
      </c>
      <c r="C255">
        <v>26</v>
      </c>
      <c r="D255" t="s">
        <v>31</v>
      </c>
      <c r="E255" t="s">
        <v>32</v>
      </c>
      <c r="F255" t="s">
        <v>73</v>
      </c>
      <c r="G255" t="s">
        <v>48</v>
      </c>
      <c r="H255" s="2">
        <v>43911</v>
      </c>
      <c r="I255" s="2" t="str">
        <f>IFERROR(VLOOKUP(HR_Employees[[#This Row],[Employee_ID]],'[1]Synthetic Exit Data'!$A$2:$E$235,4,0)," NA")</f>
        <v>2022-02-21</v>
      </c>
      <c r="J255" t="s">
        <v>49</v>
      </c>
      <c r="K255">
        <v>1</v>
      </c>
      <c r="L255" s="3">
        <v>75723</v>
      </c>
      <c r="M255" t="s">
        <v>66</v>
      </c>
      <c r="N255" t="s">
        <v>79</v>
      </c>
      <c r="O255">
        <v>6.5</v>
      </c>
      <c r="P255" t="s">
        <v>27</v>
      </c>
      <c r="Q255" t="s">
        <v>44</v>
      </c>
      <c r="R255">
        <v>2020</v>
      </c>
      <c r="S255">
        <f>IF(AND(HR_Employees[[#This Row],[Attrition]]="YES",HR_Employees[[#This Row],[Exit_Date]]&lt;&gt;""),YEAR(HR_Employees[[#This Row],[Exit_Date]]),"")</f>
        <v>2022</v>
      </c>
    </row>
    <row r="256" spans="1:19">
      <c r="A256" t="s">
        <v>512</v>
      </c>
      <c r="B256" t="s">
        <v>513</v>
      </c>
      <c r="C256">
        <v>39</v>
      </c>
      <c r="D256" t="s">
        <v>61</v>
      </c>
      <c r="E256" t="s">
        <v>21</v>
      </c>
      <c r="F256" t="s">
        <v>47</v>
      </c>
      <c r="G256" t="s">
        <v>33</v>
      </c>
      <c r="H256" s="2">
        <v>45913</v>
      </c>
      <c r="I256" s="2" t="str">
        <f>IFERROR(VLOOKUP(HR_Employees[[#This Row],[Employee_ID]],'[1]Synthetic Exit Data'!$A$2:$E$235,4,0)," NA")</f>
        <v xml:space="preserve"> NA</v>
      </c>
      <c r="J256" t="s">
        <v>24</v>
      </c>
      <c r="K256">
        <v>2</v>
      </c>
      <c r="L256" s="3">
        <v>46804</v>
      </c>
      <c r="M256" t="s">
        <v>42</v>
      </c>
      <c r="N256" t="s">
        <v>56</v>
      </c>
      <c r="O256">
        <v>1.08</v>
      </c>
      <c r="P256" t="s">
        <v>35</v>
      </c>
      <c r="Q256" t="s">
        <v>58</v>
      </c>
      <c r="R256">
        <v>2025</v>
      </c>
      <c r="S256" t="str">
        <f>IF(AND(HR_Employees[[#This Row],[Attrition]]="YES",HR_Employees[[#This Row],[Exit_Date]]&lt;&gt;""),YEAR(HR_Employees[[#This Row],[Exit_Date]]),"")</f>
        <v/>
      </c>
    </row>
    <row r="257" spans="1:19">
      <c r="A257" t="s">
        <v>514</v>
      </c>
      <c r="B257" t="s">
        <v>467</v>
      </c>
      <c r="C257">
        <v>40</v>
      </c>
      <c r="D257" t="s">
        <v>61</v>
      </c>
      <c r="E257" t="s">
        <v>32</v>
      </c>
      <c r="F257" t="s">
        <v>47</v>
      </c>
      <c r="G257" t="s">
        <v>23</v>
      </c>
      <c r="H257" s="2">
        <v>45304</v>
      </c>
      <c r="I257" s="2" t="str">
        <f>IFERROR(VLOOKUP(HR_Employees[[#This Row],[Employee_ID]],'[1]Synthetic Exit Data'!$A$2:$E$235,4,0)," NA")</f>
        <v xml:space="preserve"> NA</v>
      </c>
      <c r="J257" t="s">
        <v>24</v>
      </c>
      <c r="K257">
        <v>4</v>
      </c>
      <c r="L257" s="3">
        <v>42091</v>
      </c>
      <c r="M257" t="s">
        <v>42</v>
      </c>
      <c r="N257" t="s">
        <v>56</v>
      </c>
      <c r="O257">
        <v>2.75</v>
      </c>
      <c r="P257" t="s">
        <v>51</v>
      </c>
      <c r="Q257" t="s">
        <v>76</v>
      </c>
      <c r="R257">
        <v>2024</v>
      </c>
      <c r="S257" t="str">
        <f>IF(AND(HR_Employees[[#This Row],[Attrition]]="YES",HR_Employees[[#This Row],[Exit_Date]]&lt;&gt;""),YEAR(HR_Employees[[#This Row],[Exit_Date]]),"")</f>
        <v/>
      </c>
    </row>
    <row r="258" spans="1:19">
      <c r="A258" t="s">
        <v>515</v>
      </c>
      <c r="B258" t="s">
        <v>296</v>
      </c>
      <c r="C258">
        <v>29</v>
      </c>
      <c r="D258" t="s">
        <v>31</v>
      </c>
      <c r="E258" t="s">
        <v>32</v>
      </c>
      <c r="F258" t="s">
        <v>40</v>
      </c>
      <c r="G258" t="s">
        <v>48</v>
      </c>
      <c r="H258" s="2">
        <v>45928</v>
      </c>
      <c r="I258" s="2" t="str">
        <f>IFERROR(VLOOKUP(HR_Employees[[#This Row],[Employee_ID]],'[1]Synthetic Exit Data'!$A$2:$E$235,4,0)," NA")</f>
        <v>2025-10-24</v>
      </c>
      <c r="J258" t="s">
        <v>49</v>
      </c>
      <c r="K258">
        <v>4</v>
      </c>
      <c r="L258" s="3">
        <v>27605</v>
      </c>
      <c r="M258" t="s">
        <v>82</v>
      </c>
      <c r="N258" t="s">
        <v>43</v>
      </c>
      <c r="O258">
        <v>1</v>
      </c>
      <c r="P258" t="s">
        <v>35</v>
      </c>
      <c r="Q258" t="s">
        <v>76</v>
      </c>
      <c r="R258">
        <v>2025</v>
      </c>
      <c r="S258">
        <f>IF(AND(HR_Employees[[#This Row],[Attrition]]="YES",HR_Employees[[#This Row],[Exit_Date]]&lt;&gt;""),YEAR(HR_Employees[[#This Row],[Exit_Date]]),"")</f>
        <v>2025</v>
      </c>
    </row>
    <row r="259" spans="1:19">
      <c r="A259" t="s">
        <v>516</v>
      </c>
      <c r="B259" t="s">
        <v>517</v>
      </c>
      <c r="C259">
        <v>60</v>
      </c>
      <c r="D259" t="s">
        <v>54</v>
      </c>
      <c r="E259" t="s">
        <v>21</v>
      </c>
      <c r="F259" t="s">
        <v>73</v>
      </c>
      <c r="G259" t="s">
        <v>33</v>
      </c>
      <c r="H259" s="2">
        <v>43021</v>
      </c>
      <c r="I259" s="2" t="str">
        <f>IFERROR(VLOOKUP(HR_Employees[[#This Row],[Employee_ID]],'[1]Synthetic Exit Data'!$A$2:$E$235,4,0)," NA")</f>
        <v xml:space="preserve"> NA</v>
      </c>
      <c r="J259" t="s">
        <v>24</v>
      </c>
      <c r="K259">
        <v>3</v>
      </c>
      <c r="L259" s="3">
        <v>21418</v>
      </c>
      <c r="M259" t="s">
        <v>82</v>
      </c>
      <c r="N259" t="s">
        <v>79</v>
      </c>
      <c r="O259">
        <v>9</v>
      </c>
      <c r="P259" t="s">
        <v>57</v>
      </c>
      <c r="Q259" t="s">
        <v>44</v>
      </c>
      <c r="R259">
        <v>2017</v>
      </c>
      <c r="S259" t="str">
        <f>IF(AND(HR_Employees[[#This Row],[Attrition]]="YES",HR_Employees[[#This Row],[Exit_Date]]&lt;&gt;""),YEAR(HR_Employees[[#This Row],[Exit_Date]]),"")</f>
        <v/>
      </c>
    </row>
    <row r="260" spans="1:19">
      <c r="A260" t="s">
        <v>518</v>
      </c>
      <c r="B260" t="s">
        <v>136</v>
      </c>
      <c r="C260">
        <v>22</v>
      </c>
      <c r="D260" t="s">
        <v>39</v>
      </c>
      <c r="E260" t="s">
        <v>32</v>
      </c>
      <c r="F260" t="s">
        <v>55</v>
      </c>
      <c r="G260" t="s">
        <v>23</v>
      </c>
      <c r="H260" s="2">
        <v>42717</v>
      </c>
      <c r="I260" s="2" t="str">
        <f>IFERROR(VLOOKUP(HR_Employees[[#This Row],[Employee_ID]],'[1]Synthetic Exit Data'!$A$2:$E$235,4,0)," NA")</f>
        <v xml:space="preserve"> NA</v>
      </c>
      <c r="J260" t="s">
        <v>24</v>
      </c>
      <c r="K260">
        <v>2</v>
      </c>
      <c r="L260" s="3">
        <v>65961</v>
      </c>
      <c r="M260" t="s">
        <v>34</v>
      </c>
      <c r="N260" t="s">
        <v>79</v>
      </c>
      <c r="O260">
        <v>9.83</v>
      </c>
      <c r="P260" t="s">
        <v>57</v>
      </c>
      <c r="Q260" t="s">
        <v>28</v>
      </c>
      <c r="R260">
        <v>2016</v>
      </c>
      <c r="S260" t="str">
        <f>IF(AND(HR_Employees[[#This Row],[Attrition]]="YES",HR_Employees[[#This Row],[Exit_Date]]&lt;&gt;""),YEAR(HR_Employees[[#This Row],[Exit_Date]]),"")</f>
        <v/>
      </c>
    </row>
    <row r="261" spans="1:19">
      <c r="A261" t="s">
        <v>519</v>
      </c>
      <c r="B261" t="s">
        <v>257</v>
      </c>
      <c r="C261">
        <v>54</v>
      </c>
      <c r="D261" t="s">
        <v>20</v>
      </c>
      <c r="E261" t="s">
        <v>32</v>
      </c>
      <c r="F261" t="s">
        <v>47</v>
      </c>
      <c r="G261" t="s">
        <v>48</v>
      </c>
      <c r="H261" s="2">
        <v>43325</v>
      </c>
      <c r="I261" s="2" t="str">
        <f>IFERROR(VLOOKUP(HR_Employees[[#This Row],[Employee_ID]],'[1]Synthetic Exit Data'!$A$2:$E$235,4,0)," NA")</f>
        <v xml:space="preserve"> NA</v>
      </c>
      <c r="J261" t="s">
        <v>24</v>
      </c>
      <c r="K261">
        <v>4</v>
      </c>
      <c r="L261" s="3">
        <v>82819</v>
      </c>
      <c r="M261" t="s">
        <v>66</v>
      </c>
      <c r="N261" t="s">
        <v>79</v>
      </c>
      <c r="O261">
        <v>8.17</v>
      </c>
      <c r="P261" t="s">
        <v>57</v>
      </c>
      <c r="Q261" t="s">
        <v>58</v>
      </c>
      <c r="R261">
        <v>2018</v>
      </c>
      <c r="S261" t="str">
        <f>IF(AND(HR_Employees[[#This Row],[Attrition]]="YES",HR_Employees[[#This Row],[Exit_Date]]&lt;&gt;""),YEAR(HR_Employees[[#This Row],[Exit_Date]]),"")</f>
        <v/>
      </c>
    </row>
    <row r="262" spans="1:19">
      <c r="A262" t="s">
        <v>520</v>
      </c>
      <c r="B262" t="s">
        <v>134</v>
      </c>
      <c r="C262">
        <v>34</v>
      </c>
      <c r="D262" t="s">
        <v>31</v>
      </c>
      <c r="E262" t="s">
        <v>32</v>
      </c>
      <c r="F262" t="s">
        <v>22</v>
      </c>
      <c r="G262" t="s">
        <v>23</v>
      </c>
      <c r="H262" s="2">
        <v>42048</v>
      </c>
      <c r="I262" s="2" t="str">
        <f>IFERROR(VLOOKUP(HR_Employees[[#This Row],[Employee_ID]],'[1]Synthetic Exit Data'!$A$2:$E$235,4,0)," NA")</f>
        <v xml:space="preserve"> NA</v>
      </c>
      <c r="J262" t="s">
        <v>24</v>
      </c>
      <c r="K262">
        <v>3</v>
      </c>
      <c r="L262" s="3">
        <v>22155</v>
      </c>
      <c r="M262" t="s">
        <v>82</v>
      </c>
      <c r="N262" t="s">
        <v>26</v>
      </c>
      <c r="O262">
        <v>11.67</v>
      </c>
      <c r="P262" t="s">
        <v>125</v>
      </c>
      <c r="Q262" t="s">
        <v>92</v>
      </c>
      <c r="R262">
        <v>2015</v>
      </c>
      <c r="S262" t="str">
        <f>IF(AND(HR_Employees[[#This Row],[Attrition]]="YES",HR_Employees[[#This Row],[Exit_Date]]&lt;&gt;""),YEAR(HR_Employees[[#This Row],[Exit_Date]]),"")</f>
        <v/>
      </c>
    </row>
    <row r="263" spans="1:19">
      <c r="A263" t="s">
        <v>521</v>
      </c>
      <c r="B263" t="s">
        <v>522</v>
      </c>
      <c r="C263">
        <v>24</v>
      </c>
      <c r="D263" t="s">
        <v>39</v>
      </c>
      <c r="E263" t="s">
        <v>32</v>
      </c>
      <c r="F263" t="s">
        <v>40</v>
      </c>
      <c r="G263" t="s">
        <v>23</v>
      </c>
      <c r="H263" s="2">
        <v>43396</v>
      </c>
      <c r="I263" s="2" t="str">
        <f>IFERROR(VLOOKUP(HR_Employees[[#This Row],[Employee_ID]],'[1]Synthetic Exit Data'!$A$2:$E$235,4,0)," NA")</f>
        <v>2019-07-03</v>
      </c>
      <c r="J263" t="s">
        <v>49</v>
      </c>
      <c r="K263">
        <v>4</v>
      </c>
      <c r="L263" s="3">
        <v>39837</v>
      </c>
      <c r="M263" t="s">
        <v>42</v>
      </c>
      <c r="N263" t="s">
        <v>79</v>
      </c>
      <c r="O263">
        <v>7.92</v>
      </c>
      <c r="P263" t="s">
        <v>27</v>
      </c>
      <c r="Q263" t="s">
        <v>36</v>
      </c>
      <c r="R263">
        <v>2018</v>
      </c>
      <c r="S263">
        <f>IF(AND(HR_Employees[[#This Row],[Attrition]]="YES",HR_Employees[[#This Row],[Exit_Date]]&lt;&gt;""),YEAR(HR_Employees[[#This Row],[Exit_Date]]),"")</f>
        <v>2019</v>
      </c>
    </row>
    <row r="264" spans="1:19">
      <c r="A264" t="s">
        <v>523</v>
      </c>
      <c r="B264" t="s">
        <v>412</v>
      </c>
      <c r="C264">
        <v>34</v>
      </c>
      <c r="D264" t="s">
        <v>31</v>
      </c>
      <c r="E264" t="s">
        <v>32</v>
      </c>
      <c r="F264" t="s">
        <v>55</v>
      </c>
      <c r="G264" t="s">
        <v>33</v>
      </c>
      <c r="H264" s="2">
        <v>43995</v>
      </c>
      <c r="I264" s="2" t="str">
        <f>IFERROR(VLOOKUP(HR_Employees[[#This Row],[Employee_ID]],'[1]Synthetic Exit Data'!$A$2:$E$235,4,0)," NA")</f>
        <v xml:space="preserve"> NA</v>
      </c>
      <c r="J264" t="s">
        <v>24</v>
      </c>
      <c r="K264">
        <v>3</v>
      </c>
      <c r="L264" s="3">
        <v>18588</v>
      </c>
      <c r="M264" t="s">
        <v>82</v>
      </c>
      <c r="N264" t="s">
        <v>79</v>
      </c>
      <c r="O264">
        <v>6.33</v>
      </c>
      <c r="P264" t="s">
        <v>35</v>
      </c>
      <c r="Q264" t="s">
        <v>44</v>
      </c>
      <c r="R264">
        <v>2020</v>
      </c>
      <c r="S264" t="str">
        <f>IF(AND(HR_Employees[[#This Row],[Attrition]]="YES",HR_Employees[[#This Row],[Exit_Date]]&lt;&gt;""),YEAR(HR_Employees[[#This Row],[Exit_Date]]),"")</f>
        <v/>
      </c>
    </row>
    <row r="265" spans="1:19">
      <c r="A265" t="s">
        <v>524</v>
      </c>
      <c r="B265" t="s">
        <v>320</v>
      </c>
      <c r="C265">
        <v>30</v>
      </c>
      <c r="D265" t="s">
        <v>31</v>
      </c>
      <c r="E265" t="s">
        <v>32</v>
      </c>
      <c r="F265" t="s">
        <v>40</v>
      </c>
      <c r="G265" t="s">
        <v>33</v>
      </c>
      <c r="H265" s="2">
        <v>44970</v>
      </c>
      <c r="I265" s="2" t="str">
        <f>IFERROR(VLOOKUP(HR_Employees[[#This Row],[Employee_ID]],'[1]Synthetic Exit Data'!$A$2:$E$235,4,0)," NA")</f>
        <v xml:space="preserve"> NA</v>
      </c>
      <c r="J265" t="s">
        <v>24</v>
      </c>
      <c r="K265">
        <v>4</v>
      </c>
      <c r="L265" s="3">
        <v>146798</v>
      </c>
      <c r="M265" t="s">
        <v>25</v>
      </c>
      <c r="N265" t="s">
        <v>50</v>
      </c>
      <c r="O265">
        <v>3.67</v>
      </c>
      <c r="P265" t="s">
        <v>51</v>
      </c>
      <c r="Q265" t="s">
        <v>58</v>
      </c>
      <c r="R265">
        <v>2023</v>
      </c>
      <c r="S265" t="str">
        <f>IF(AND(HR_Employees[[#This Row],[Attrition]]="YES",HR_Employees[[#This Row],[Exit_Date]]&lt;&gt;""),YEAR(HR_Employees[[#This Row],[Exit_Date]]),"")</f>
        <v/>
      </c>
    </row>
    <row r="266" spans="1:19">
      <c r="A266" t="s">
        <v>525</v>
      </c>
      <c r="B266" t="s">
        <v>526</v>
      </c>
      <c r="C266">
        <v>25</v>
      </c>
      <c r="D266" t="s">
        <v>39</v>
      </c>
      <c r="E266" t="s">
        <v>21</v>
      </c>
      <c r="F266" t="s">
        <v>55</v>
      </c>
      <c r="G266" t="s">
        <v>23</v>
      </c>
      <c r="H266" s="2">
        <v>46155</v>
      </c>
      <c r="I266" s="2" t="str">
        <f>IFERROR(VLOOKUP(HR_Employees[[#This Row],[Employee_ID]],'[1]Synthetic Exit Data'!$A$2:$E$235,4,0)," NA")</f>
        <v xml:space="preserve"> NA</v>
      </c>
      <c r="J266" t="s">
        <v>24</v>
      </c>
      <c r="K266">
        <v>3</v>
      </c>
      <c r="L266" s="3">
        <v>157847</v>
      </c>
      <c r="M266" t="s">
        <v>25</v>
      </c>
      <c r="N266" t="s">
        <v>43</v>
      </c>
      <c r="O266">
        <v>0.42</v>
      </c>
      <c r="P266" t="s">
        <v>27</v>
      </c>
      <c r="Q266" t="s">
        <v>62</v>
      </c>
      <c r="R266">
        <v>2026</v>
      </c>
      <c r="S266" t="str">
        <f>IF(AND(HR_Employees[[#This Row],[Attrition]]="YES",HR_Employees[[#This Row],[Exit_Date]]&lt;&gt;""),YEAR(HR_Employees[[#This Row],[Exit_Date]]),"")</f>
        <v/>
      </c>
    </row>
    <row r="267" spans="1:19">
      <c r="A267" t="s">
        <v>527</v>
      </c>
      <c r="B267" t="s">
        <v>528</v>
      </c>
      <c r="C267">
        <v>54</v>
      </c>
      <c r="D267" t="s">
        <v>20</v>
      </c>
      <c r="E267" t="s">
        <v>32</v>
      </c>
      <c r="F267" t="s">
        <v>151</v>
      </c>
      <c r="G267" t="s">
        <v>23</v>
      </c>
      <c r="H267" s="2">
        <v>44709</v>
      </c>
      <c r="I267" s="2" t="str">
        <f>IFERROR(VLOOKUP(HR_Employees[[#This Row],[Employee_ID]],'[1]Synthetic Exit Data'!$A$2:$E$235,4,0)," NA")</f>
        <v>2022-10-08</v>
      </c>
      <c r="J267" t="s">
        <v>49</v>
      </c>
      <c r="K267">
        <v>4</v>
      </c>
      <c r="L267" s="3">
        <v>98473</v>
      </c>
      <c r="M267" t="s">
        <v>66</v>
      </c>
      <c r="N267" t="s">
        <v>50</v>
      </c>
      <c r="O267">
        <v>4.25</v>
      </c>
      <c r="P267" t="s">
        <v>27</v>
      </c>
      <c r="Q267" t="s">
        <v>28</v>
      </c>
      <c r="R267">
        <v>2022</v>
      </c>
      <c r="S267">
        <f>IF(AND(HR_Employees[[#This Row],[Attrition]]="YES",HR_Employees[[#This Row],[Exit_Date]]&lt;&gt;""),YEAR(HR_Employees[[#This Row],[Exit_Date]]),"")</f>
        <v>2022</v>
      </c>
    </row>
    <row r="268" spans="1:19">
      <c r="A268" t="s">
        <v>529</v>
      </c>
      <c r="B268" t="s">
        <v>530</v>
      </c>
      <c r="C268">
        <v>42</v>
      </c>
      <c r="D268" t="s">
        <v>61</v>
      </c>
      <c r="E268" t="s">
        <v>21</v>
      </c>
      <c r="F268" t="s">
        <v>109</v>
      </c>
      <c r="G268" t="s">
        <v>23</v>
      </c>
      <c r="H268" s="2">
        <v>44664</v>
      </c>
      <c r="I268" s="2" t="str">
        <f>IFERROR(VLOOKUP(HR_Employees[[#This Row],[Employee_ID]],'[1]Synthetic Exit Data'!$A$2:$E$235,4,0)," NA")</f>
        <v xml:space="preserve"> NA</v>
      </c>
      <c r="J268" t="s">
        <v>24</v>
      </c>
      <c r="K268">
        <v>3</v>
      </c>
      <c r="L268" s="3">
        <v>55994</v>
      </c>
      <c r="M268" t="s">
        <v>34</v>
      </c>
      <c r="N268" t="s">
        <v>50</v>
      </c>
      <c r="O268">
        <v>4.5</v>
      </c>
      <c r="P268" t="s">
        <v>51</v>
      </c>
      <c r="Q268" t="s">
        <v>36</v>
      </c>
      <c r="R268">
        <v>2022</v>
      </c>
      <c r="S268" t="str">
        <f>IF(AND(HR_Employees[[#This Row],[Attrition]]="YES",HR_Employees[[#This Row],[Exit_Date]]&lt;&gt;""),YEAR(HR_Employees[[#This Row],[Exit_Date]]),"")</f>
        <v/>
      </c>
    </row>
    <row r="269" spans="1:19">
      <c r="A269" t="s">
        <v>531</v>
      </c>
      <c r="B269" t="s">
        <v>532</v>
      </c>
      <c r="C269">
        <v>23</v>
      </c>
      <c r="D269" t="s">
        <v>39</v>
      </c>
      <c r="E269" t="s">
        <v>32</v>
      </c>
      <c r="F269" t="s">
        <v>65</v>
      </c>
      <c r="G269" t="s">
        <v>23</v>
      </c>
      <c r="H269" s="2">
        <v>46111</v>
      </c>
      <c r="I269" s="2" t="str">
        <f>IFERROR(VLOOKUP(HR_Employees[[#This Row],[Employee_ID]],'[1]Synthetic Exit Data'!$A$2:$E$235,4,0)," NA")</f>
        <v>2026-09-26</v>
      </c>
      <c r="J269" t="s">
        <v>49</v>
      </c>
      <c r="K269">
        <v>5</v>
      </c>
      <c r="L269" s="3">
        <v>24191</v>
      </c>
      <c r="M269" t="s">
        <v>82</v>
      </c>
      <c r="N269" t="s">
        <v>43</v>
      </c>
      <c r="O269">
        <v>0.33</v>
      </c>
      <c r="P269" t="s">
        <v>35</v>
      </c>
      <c r="Q269" t="s">
        <v>36</v>
      </c>
      <c r="R269">
        <v>2026</v>
      </c>
      <c r="S269">
        <f>IF(AND(HR_Employees[[#This Row],[Attrition]]="YES",HR_Employees[[#This Row],[Exit_Date]]&lt;&gt;""),YEAR(HR_Employees[[#This Row],[Exit_Date]]),"")</f>
        <v>2026</v>
      </c>
    </row>
    <row r="270" spans="1:19">
      <c r="A270" t="s">
        <v>533</v>
      </c>
      <c r="B270" t="s">
        <v>534</v>
      </c>
      <c r="C270">
        <v>40</v>
      </c>
      <c r="D270" t="s">
        <v>61</v>
      </c>
      <c r="E270" t="s">
        <v>21</v>
      </c>
      <c r="F270" t="s">
        <v>40</v>
      </c>
      <c r="G270" t="s">
        <v>23</v>
      </c>
      <c r="H270" s="2">
        <v>42564</v>
      </c>
      <c r="I270" s="2" t="str">
        <f>IFERROR(VLOOKUP(HR_Employees[[#This Row],[Employee_ID]],'[1]Synthetic Exit Data'!$A$2:$E$235,4,0)," NA")</f>
        <v xml:space="preserve"> NA</v>
      </c>
      <c r="J270" t="s">
        <v>24</v>
      </c>
      <c r="K270">
        <v>4</v>
      </c>
      <c r="L270" s="3">
        <v>45955</v>
      </c>
      <c r="M270" t="s">
        <v>42</v>
      </c>
      <c r="N270" t="s">
        <v>26</v>
      </c>
      <c r="O270">
        <v>10.25</v>
      </c>
      <c r="P270" t="s">
        <v>27</v>
      </c>
      <c r="Q270" t="s">
        <v>62</v>
      </c>
      <c r="R270">
        <v>2016</v>
      </c>
      <c r="S270" t="str">
        <f>IF(AND(HR_Employees[[#This Row],[Attrition]]="YES",HR_Employees[[#This Row],[Exit_Date]]&lt;&gt;""),YEAR(HR_Employees[[#This Row],[Exit_Date]]),"")</f>
        <v/>
      </c>
    </row>
    <row r="271" spans="1:19">
      <c r="A271" t="s">
        <v>535</v>
      </c>
      <c r="B271" t="s">
        <v>536</v>
      </c>
      <c r="C271">
        <v>28</v>
      </c>
      <c r="D271" t="s">
        <v>31</v>
      </c>
      <c r="E271" t="s">
        <v>32</v>
      </c>
      <c r="F271" t="s">
        <v>47</v>
      </c>
      <c r="G271" t="s">
        <v>114</v>
      </c>
      <c r="H271" s="2">
        <v>46125</v>
      </c>
      <c r="I271" s="2" t="str">
        <f>IFERROR(VLOOKUP(HR_Employees[[#This Row],[Employee_ID]],'[1]Synthetic Exit Data'!$A$2:$E$235,4,0)," NA")</f>
        <v xml:space="preserve"> NA</v>
      </c>
      <c r="J271" t="s">
        <v>24</v>
      </c>
      <c r="K271">
        <v>4</v>
      </c>
      <c r="L271" s="3">
        <v>64335</v>
      </c>
      <c r="M271" t="s">
        <v>34</v>
      </c>
      <c r="N271" t="s">
        <v>43</v>
      </c>
      <c r="O271">
        <v>0.5</v>
      </c>
      <c r="P271" t="s">
        <v>125</v>
      </c>
      <c r="Q271" t="s">
        <v>76</v>
      </c>
      <c r="R271">
        <v>2026</v>
      </c>
      <c r="S271" t="str">
        <f>IF(AND(HR_Employees[[#This Row],[Attrition]]="YES",HR_Employees[[#This Row],[Exit_Date]]&lt;&gt;""),YEAR(HR_Employees[[#This Row],[Exit_Date]]),"")</f>
        <v/>
      </c>
    </row>
    <row r="272" spans="1:19">
      <c r="A272" t="s">
        <v>537</v>
      </c>
      <c r="B272" t="s">
        <v>538</v>
      </c>
      <c r="C272">
        <v>53</v>
      </c>
      <c r="D272" t="s">
        <v>20</v>
      </c>
      <c r="E272" t="s">
        <v>32</v>
      </c>
      <c r="F272" t="s">
        <v>55</v>
      </c>
      <c r="G272" t="s">
        <v>23</v>
      </c>
      <c r="H272" s="2">
        <v>45999</v>
      </c>
      <c r="I272" s="2" t="str">
        <f>IFERROR(VLOOKUP(HR_Employees[[#This Row],[Employee_ID]],'[1]Synthetic Exit Data'!$A$2:$E$235,4,0)," NA")</f>
        <v>2025-12-27</v>
      </c>
      <c r="J272" t="s">
        <v>49</v>
      </c>
      <c r="K272">
        <v>4</v>
      </c>
      <c r="L272" s="3">
        <v>56357</v>
      </c>
      <c r="M272" t="s">
        <v>34</v>
      </c>
      <c r="N272" t="s">
        <v>43</v>
      </c>
      <c r="O272">
        <v>0.75</v>
      </c>
      <c r="P272" t="s">
        <v>35</v>
      </c>
      <c r="Q272" t="s">
        <v>28</v>
      </c>
      <c r="R272">
        <v>2025</v>
      </c>
      <c r="S272">
        <f>IF(AND(HR_Employees[[#This Row],[Attrition]]="YES",HR_Employees[[#This Row],[Exit_Date]]&lt;&gt;""),YEAR(HR_Employees[[#This Row],[Exit_Date]]),"")</f>
        <v>2025</v>
      </c>
    </row>
    <row r="273" spans="1:19">
      <c r="A273" t="s">
        <v>539</v>
      </c>
      <c r="B273" t="s">
        <v>231</v>
      </c>
      <c r="C273">
        <v>43</v>
      </c>
      <c r="D273" t="s">
        <v>61</v>
      </c>
      <c r="E273" t="s">
        <v>21</v>
      </c>
      <c r="F273" t="s">
        <v>22</v>
      </c>
      <c r="G273" t="s">
        <v>23</v>
      </c>
      <c r="H273" s="2">
        <v>46125</v>
      </c>
      <c r="I273" s="2" t="str">
        <f>IFERROR(VLOOKUP(HR_Employees[[#This Row],[Employee_ID]],'[1]Synthetic Exit Data'!$A$2:$E$235,4,0)," NA")</f>
        <v xml:space="preserve"> NA</v>
      </c>
      <c r="J273" t="s">
        <v>24</v>
      </c>
      <c r="K273">
        <v>1</v>
      </c>
      <c r="L273" s="3">
        <v>41411</v>
      </c>
      <c r="M273" t="s">
        <v>42</v>
      </c>
      <c r="N273" t="s">
        <v>43</v>
      </c>
      <c r="O273">
        <v>0.5</v>
      </c>
      <c r="P273" t="s">
        <v>35</v>
      </c>
      <c r="Q273" t="s">
        <v>58</v>
      </c>
      <c r="R273">
        <v>2026</v>
      </c>
      <c r="S273" t="str">
        <f>IF(AND(HR_Employees[[#This Row],[Attrition]]="YES",HR_Employees[[#This Row],[Exit_Date]]&lt;&gt;""),YEAR(HR_Employees[[#This Row],[Exit_Date]]),"")</f>
        <v/>
      </c>
    </row>
    <row r="274" spans="1:19">
      <c r="A274" t="s">
        <v>540</v>
      </c>
      <c r="B274" t="s">
        <v>541</v>
      </c>
      <c r="C274">
        <v>34</v>
      </c>
      <c r="D274" t="s">
        <v>31</v>
      </c>
      <c r="E274" t="s">
        <v>32</v>
      </c>
      <c r="F274" t="s">
        <v>65</v>
      </c>
      <c r="G274" t="s">
        <v>23</v>
      </c>
      <c r="H274" s="2">
        <v>45517</v>
      </c>
      <c r="I274" s="2" t="str">
        <f>IFERROR(VLOOKUP(HR_Employees[[#This Row],[Employee_ID]],'[1]Synthetic Exit Data'!$A$2:$E$235,4,0)," NA")</f>
        <v xml:space="preserve"> NA</v>
      </c>
      <c r="J274" t="s">
        <v>24</v>
      </c>
      <c r="K274">
        <v>3</v>
      </c>
      <c r="L274" s="3">
        <v>25315</v>
      </c>
      <c r="M274" t="s">
        <v>82</v>
      </c>
      <c r="N274" t="s">
        <v>56</v>
      </c>
      <c r="O274">
        <v>2.17</v>
      </c>
      <c r="P274" t="s">
        <v>27</v>
      </c>
      <c r="Q274" t="s">
        <v>62</v>
      </c>
      <c r="R274">
        <v>2024</v>
      </c>
      <c r="S274" t="str">
        <f>IF(AND(HR_Employees[[#This Row],[Attrition]]="YES",HR_Employees[[#This Row],[Exit_Date]]&lt;&gt;""),YEAR(HR_Employees[[#This Row],[Exit_Date]]),"")</f>
        <v/>
      </c>
    </row>
    <row r="275" spans="1:19">
      <c r="A275" t="s">
        <v>542</v>
      </c>
      <c r="B275" t="s">
        <v>543</v>
      </c>
      <c r="C275">
        <v>36</v>
      </c>
      <c r="D275" t="s">
        <v>61</v>
      </c>
      <c r="E275" t="s">
        <v>21</v>
      </c>
      <c r="F275" t="s">
        <v>65</v>
      </c>
      <c r="G275" t="s">
        <v>23</v>
      </c>
      <c r="H275" s="2">
        <v>46004</v>
      </c>
      <c r="I275" s="2" t="str">
        <f>IFERROR(VLOOKUP(HR_Employees[[#This Row],[Employee_ID]],'[1]Synthetic Exit Data'!$A$2:$E$235,4,0)," NA")</f>
        <v xml:space="preserve"> NA</v>
      </c>
      <c r="J275" t="s">
        <v>24</v>
      </c>
      <c r="K275">
        <v>4</v>
      </c>
      <c r="L275" s="3">
        <v>65465</v>
      </c>
      <c r="M275" t="s">
        <v>34</v>
      </c>
      <c r="N275" t="s">
        <v>43</v>
      </c>
      <c r="O275">
        <v>0.83</v>
      </c>
      <c r="P275" t="s">
        <v>125</v>
      </c>
      <c r="Q275" t="s">
        <v>92</v>
      </c>
      <c r="R275">
        <v>2025</v>
      </c>
      <c r="S275" t="str">
        <f>IF(AND(HR_Employees[[#This Row],[Attrition]]="YES",HR_Employees[[#This Row],[Exit_Date]]&lt;&gt;""),YEAR(HR_Employees[[#This Row],[Exit_Date]]),"")</f>
        <v/>
      </c>
    </row>
    <row r="276" spans="1:19">
      <c r="A276" t="s">
        <v>544</v>
      </c>
      <c r="B276" t="s">
        <v>545</v>
      </c>
      <c r="C276">
        <v>29</v>
      </c>
      <c r="D276" t="s">
        <v>31</v>
      </c>
      <c r="E276" t="s">
        <v>21</v>
      </c>
      <c r="F276" t="s">
        <v>109</v>
      </c>
      <c r="G276" t="s">
        <v>33</v>
      </c>
      <c r="H276" s="2">
        <v>45943</v>
      </c>
      <c r="I276" s="2" t="str">
        <f>IFERROR(VLOOKUP(HR_Employees[[#This Row],[Employee_ID]],'[1]Synthetic Exit Data'!$A$2:$E$235,4,0)," NA")</f>
        <v xml:space="preserve"> NA</v>
      </c>
      <c r="J276" t="s">
        <v>24</v>
      </c>
      <c r="K276">
        <v>4</v>
      </c>
      <c r="L276" s="3">
        <v>38109</v>
      </c>
      <c r="M276" t="s">
        <v>42</v>
      </c>
      <c r="N276" t="s">
        <v>43</v>
      </c>
      <c r="O276">
        <v>1</v>
      </c>
      <c r="P276" t="s">
        <v>51</v>
      </c>
      <c r="Q276" t="s">
        <v>76</v>
      </c>
      <c r="R276">
        <v>2025</v>
      </c>
      <c r="S276" t="str">
        <f>IF(AND(HR_Employees[[#This Row],[Attrition]]="YES",HR_Employees[[#This Row],[Exit_Date]]&lt;&gt;""),YEAR(HR_Employees[[#This Row],[Exit_Date]]),"")</f>
        <v/>
      </c>
    </row>
    <row r="277" spans="1:19">
      <c r="A277" t="s">
        <v>546</v>
      </c>
      <c r="B277" t="s">
        <v>286</v>
      </c>
      <c r="C277">
        <v>44</v>
      </c>
      <c r="D277" t="s">
        <v>61</v>
      </c>
      <c r="E277" t="s">
        <v>32</v>
      </c>
      <c r="F277" t="s">
        <v>65</v>
      </c>
      <c r="G277" t="s">
        <v>23</v>
      </c>
      <c r="H277" s="2">
        <v>44633</v>
      </c>
      <c r="I277" s="2" t="str">
        <f>IFERROR(VLOOKUP(HR_Employees[[#This Row],[Employee_ID]],'[1]Synthetic Exit Data'!$A$2:$E$235,4,0)," NA")</f>
        <v xml:space="preserve"> NA</v>
      </c>
      <c r="J277" t="s">
        <v>24</v>
      </c>
      <c r="K277">
        <v>4</v>
      </c>
      <c r="L277" s="3">
        <v>72139</v>
      </c>
      <c r="M277" t="s">
        <v>34</v>
      </c>
      <c r="N277" t="s">
        <v>50</v>
      </c>
      <c r="O277">
        <v>4.58</v>
      </c>
      <c r="P277" t="s">
        <v>35</v>
      </c>
      <c r="Q277" t="s">
        <v>58</v>
      </c>
      <c r="R277">
        <v>2022</v>
      </c>
      <c r="S277" t="str">
        <f>IF(AND(HR_Employees[[#This Row],[Attrition]]="YES",HR_Employees[[#This Row],[Exit_Date]]&lt;&gt;""),YEAR(HR_Employees[[#This Row],[Exit_Date]]),"")</f>
        <v/>
      </c>
    </row>
    <row r="278" spans="1:19">
      <c r="A278" t="s">
        <v>547</v>
      </c>
      <c r="B278" t="s">
        <v>427</v>
      </c>
      <c r="C278">
        <v>32</v>
      </c>
      <c r="D278" t="s">
        <v>31</v>
      </c>
      <c r="E278" t="s">
        <v>32</v>
      </c>
      <c r="F278" t="s">
        <v>22</v>
      </c>
      <c r="G278" t="s">
        <v>23</v>
      </c>
      <c r="H278" s="2">
        <v>44633</v>
      </c>
      <c r="I278" s="2" t="str">
        <f>IFERROR(VLOOKUP(HR_Employees[[#This Row],[Employee_ID]],'[1]Synthetic Exit Data'!$A$2:$E$235,4,0)," NA")</f>
        <v xml:space="preserve"> NA</v>
      </c>
      <c r="J278" t="s">
        <v>24</v>
      </c>
      <c r="K278">
        <v>2</v>
      </c>
      <c r="L278" s="3">
        <v>36720</v>
      </c>
      <c r="M278" t="s">
        <v>42</v>
      </c>
      <c r="N278" t="s">
        <v>50</v>
      </c>
      <c r="O278">
        <v>4.58</v>
      </c>
      <c r="P278" t="s">
        <v>27</v>
      </c>
      <c r="Q278" t="s">
        <v>92</v>
      </c>
      <c r="R278">
        <v>2022</v>
      </c>
      <c r="S278" t="str">
        <f>IF(AND(HR_Employees[[#This Row],[Attrition]]="YES",HR_Employees[[#This Row],[Exit_Date]]&lt;&gt;""),YEAR(HR_Employees[[#This Row],[Exit_Date]]),"")</f>
        <v/>
      </c>
    </row>
    <row r="279" spans="1:19">
      <c r="A279" t="s">
        <v>548</v>
      </c>
      <c r="B279" t="s">
        <v>549</v>
      </c>
      <c r="C279">
        <v>33</v>
      </c>
      <c r="D279" t="s">
        <v>31</v>
      </c>
      <c r="E279" t="s">
        <v>32</v>
      </c>
      <c r="F279" t="s">
        <v>40</v>
      </c>
      <c r="G279" t="s">
        <v>33</v>
      </c>
      <c r="H279" s="2">
        <v>46080</v>
      </c>
      <c r="I279" s="2" t="str">
        <f>IFERROR(VLOOKUP(HR_Employees[[#This Row],[Employee_ID]],'[1]Synthetic Exit Data'!$A$2:$E$235,4,0)," NA")</f>
        <v>2026-08-31</v>
      </c>
      <c r="J279" t="s">
        <v>49</v>
      </c>
      <c r="K279">
        <v>3</v>
      </c>
      <c r="L279" s="3">
        <v>37070</v>
      </c>
      <c r="M279" t="s">
        <v>42</v>
      </c>
      <c r="N279" t="s">
        <v>43</v>
      </c>
      <c r="O279">
        <v>0.5</v>
      </c>
      <c r="P279" t="s">
        <v>83</v>
      </c>
      <c r="Q279" t="s">
        <v>44</v>
      </c>
      <c r="R279">
        <v>2026</v>
      </c>
      <c r="S279">
        <f>IF(AND(HR_Employees[[#This Row],[Attrition]]="YES",HR_Employees[[#This Row],[Exit_Date]]&lt;&gt;""),YEAR(HR_Employees[[#This Row],[Exit_Date]]),"")</f>
        <v>2026</v>
      </c>
    </row>
    <row r="280" spans="1:19">
      <c r="A280" t="s">
        <v>550</v>
      </c>
      <c r="B280" t="s">
        <v>379</v>
      </c>
      <c r="C280">
        <v>29</v>
      </c>
      <c r="D280" t="s">
        <v>31</v>
      </c>
      <c r="E280" t="s">
        <v>32</v>
      </c>
      <c r="F280" t="s">
        <v>47</v>
      </c>
      <c r="G280" t="s">
        <v>23</v>
      </c>
      <c r="H280" s="2">
        <v>46186</v>
      </c>
      <c r="I280" s="2" t="str">
        <f>IFERROR(VLOOKUP(HR_Employees[[#This Row],[Employee_ID]],'[1]Synthetic Exit Data'!$A$2:$E$235,4,0)," NA")</f>
        <v xml:space="preserve"> NA</v>
      </c>
      <c r="J280" t="s">
        <v>24</v>
      </c>
      <c r="K280">
        <v>4</v>
      </c>
      <c r="L280" s="3">
        <v>57714</v>
      </c>
      <c r="M280" t="s">
        <v>34</v>
      </c>
      <c r="N280" t="s">
        <v>43</v>
      </c>
      <c r="O280">
        <v>0.33</v>
      </c>
      <c r="P280" t="s">
        <v>57</v>
      </c>
      <c r="Q280" t="s">
        <v>62</v>
      </c>
      <c r="R280">
        <v>2026</v>
      </c>
      <c r="S280" t="str">
        <f>IF(AND(HR_Employees[[#This Row],[Attrition]]="YES",HR_Employees[[#This Row],[Exit_Date]]&lt;&gt;""),YEAR(HR_Employees[[#This Row],[Exit_Date]]),"")</f>
        <v/>
      </c>
    </row>
    <row r="281" spans="1:19">
      <c r="A281" t="s">
        <v>551</v>
      </c>
      <c r="B281" t="s">
        <v>122</v>
      </c>
      <c r="C281">
        <v>53</v>
      </c>
      <c r="D281" t="s">
        <v>20</v>
      </c>
      <c r="E281" t="s">
        <v>21</v>
      </c>
      <c r="F281" t="s">
        <v>47</v>
      </c>
      <c r="G281" t="s">
        <v>23</v>
      </c>
      <c r="H281" s="2">
        <v>42321</v>
      </c>
      <c r="I281" s="2" t="str">
        <f>IFERROR(VLOOKUP(HR_Employees[[#This Row],[Employee_ID]],'[1]Synthetic Exit Data'!$A$2:$E$235,4,0)," NA")</f>
        <v xml:space="preserve"> NA</v>
      </c>
      <c r="J281" t="s">
        <v>24</v>
      </c>
      <c r="K281">
        <v>4</v>
      </c>
      <c r="L281" s="3">
        <v>74328</v>
      </c>
      <c r="M281" t="s">
        <v>34</v>
      </c>
      <c r="N281" t="s">
        <v>26</v>
      </c>
      <c r="O281">
        <v>10.92</v>
      </c>
      <c r="P281" t="s">
        <v>27</v>
      </c>
      <c r="Q281" t="s">
        <v>62</v>
      </c>
      <c r="R281">
        <v>2015</v>
      </c>
      <c r="S281" t="str">
        <f>IF(AND(HR_Employees[[#This Row],[Attrition]]="YES",HR_Employees[[#This Row],[Exit_Date]]&lt;&gt;""),YEAR(HR_Employees[[#This Row],[Exit_Date]]),"")</f>
        <v/>
      </c>
    </row>
    <row r="282" spans="1:19">
      <c r="A282" t="s">
        <v>552</v>
      </c>
      <c r="B282" t="s">
        <v>140</v>
      </c>
      <c r="C282">
        <v>40</v>
      </c>
      <c r="D282" t="s">
        <v>61</v>
      </c>
      <c r="E282" t="s">
        <v>21</v>
      </c>
      <c r="F282" t="s">
        <v>47</v>
      </c>
      <c r="G282" t="s">
        <v>41</v>
      </c>
      <c r="H282" s="2">
        <v>45670</v>
      </c>
      <c r="I282" s="2" t="str">
        <f>IFERROR(VLOOKUP(HR_Employees[[#This Row],[Employee_ID]],'[1]Synthetic Exit Data'!$A$2:$E$235,4,0)," NA")</f>
        <v xml:space="preserve"> NA</v>
      </c>
      <c r="J282" t="s">
        <v>24</v>
      </c>
      <c r="K282">
        <v>4</v>
      </c>
      <c r="L282" s="3">
        <v>59371</v>
      </c>
      <c r="M282" t="s">
        <v>34</v>
      </c>
      <c r="N282" t="s">
        <v>56</v>
      </c>
      <c r="O282">
        <v>1.75</v>
      </c>
      <c r="P282" t="s">
        <v>57</v>
      </c>
      <c r="Q282" t="s">
        <v>76</v>
      </c>
      <c r="R282">
        <v>2025</v>
      </c>
      <c r="S282" t="str">
        <f>IF(AND(HR_Employees[[#This Row],[Attrition]]="YES",HR_Employees[[#This Row],[Exit_Date]]&lt;&gt;""),YEAR(HR_Employees[[#This Row],[Exit_Date]]),"")</f>
        <v/>
      </c>
    </row>
    <row r="283" spans="1:19">
      <c r="A283" t="s">
        <v>553</v>
      </c>
      <c r="B283" t="s">
        <v>179</v>
      </c>
      <c r="C283">
        <v>24</v>
      </c>
      <c r="D283" t="s">
        <v>39</v>
      </c>
      <c r="E283" t="s">
        <v>32</v>
      </c>
      <c r="F283" t="s">
        <v>55</v>
      </c>
      <c r="G283" t="s">
        <v>33</v>
      </c>
      <c r="H283" s="2">
        <v>41042</v>
      </c>
      <c r="I283" s="2" t="str">
        <f>IFERROR(VLOOKUP(HR_Employees[[#This Row],[Employee_ID]],'[1]Synthetic Exit Data'!$A$2:$E$235,4,0)," NA")</f>
        <v xml:space="preserve"> NA</v>
      </c>
      <c r="J283" t="s">
        <v>24</v>
      </c>
      <c r="K283">
        <v>4</v>
      </c>
      <c r="L283" s="3">
        <v>169829</v>
      </c>
      <c r="M283" t="s">
        <v>25</v>
      </c>
      <c r="N283" t="s">
        <v>26</v>
      </c>
      <c r="O283">
        <v>14.42</v>
      </c>
      <c r="P283" t="s">
        <v>125</v>
      </c>
      <c r="Q283" t="s">
        <v>92</v>
      </c>
      <c r="R283">
        <v>2012</v>
      </c>
      <c r="S283" t="str">
        <f>IF(AND(HR_Employees[[#This Row],[Attrition]]="YES",HR_Employees[[#This Row],[Exit_Date]]&lt;&gt;""),YEAR(HR_Employees[[#This Row],[Exit_Date]]),"")</f>
        <v/>
      </c>
    </row>
    <row r="284" spans="1:19">
      <c r="A284" t="s">
        <v>554</v>
      </c>
      <c r="B284" t="s">
        <v>338</v>
      </c>
      <c r="C284">
        <v>34</v>
      </c>
      <c r="D284" t="s">
        <v>31</v>
      </c>
      <c r="E284" t="s">
        <v>32</v>
      </c>
      <c r="F284" t="s">
        <v>40</v>
      </c>
      <c r="G284" t="s">
        <v>23</v>
      </c>
      <c r="H284" s="2">
        <v>46119</v>
      </c>
      <c r="I284" s="2" t="str">
        <f>IFERROR(VLOOKUP(HR_Employees[[#This Row],[Employee_ID]],'[1]Synthetic Exit Data'!$A$2:$E$235,4,0)," NA")</f>
        <v>2026-08-29</v>
      </c>
      <c r="J284" t="s">
        <v>49</v>
      </c>
      <c r="K284">
        <v>3</v>
      </c>
      <c r="L284" s="3">
        <v>63044</v>
      </c>
      <c r="M284" t="s">
        <v>34</v>
      </c>
      <c r="N284" t="s">
        <v>43</v>
      </c>
      <c r="O284">
        <v>0.5</v>
      </c>
      <c r="P284" t="s">
        <v>125</v>
      </c>
      <c r="Q284" t="s">
        <v>62</v>
      </c>
      <c r="R284">
        <v>2026</v>
      </c>
      <c r="S284">
        <f>IF(AND(HR_Employees[[#This Row],[Attrition]]="YES",HR_Employees[[#This Row],[Exit_Date]]&lt;&gt;""),YEAR(HR_Employees[[#This Row],[Exit_Date]]),"")</f>
        <v>2026</v>
      </c>
    </row>
    <row r="285" spans="1:19">
      <c r="A285" t="s">
        <v>555</v>
      </c>
      <c r="B285" t="s">
        <v>475</v>
      </c>
      <c r="C285">
        <v>34</v>
      </c>
      <c r="D285" t="s">
        <v>31</v>
      </c>
      <c r="E285" t="s">
        <v>21</v>
      </c>
      <c r="F285" t="s">
        <v>47</v>
      </c>
      <c r="G285" t="s">
        <v>33</v>
      </c>
      <c r="H285" s="2">
        <v>43407</v>
      </c>
      <c r="I285" s="2" t="str">
        <f>IFERROR(VLOOKUP(HR_Employees[[#This Row],[Employee_ID]],'[1]Synthetic Exit Data'!$A$2:$E$235,4,0)," NA")</f>
        <v>2018-12-04</v>
      </c>
      <c r="J285" t="s">
        <v>49</v>
      </c>
      <c r="K285">
        <v>3</v>
      </c>
      <c r="L285" s="3">
        <v>67495</v>
      </c>
      <c r="M285" t="s">
        <v>34</v>
      </c>
      <c r="N285" t="s">
        <v>79</v>
      </c>
      <c r="O285">
        <v>7.75</v>
      </c>
      <c r="P285" t="s">
        <v>51</v>
      </c>
      <c r="Q285" t="s">
        <v>36</v>
      </c>
      <c r="R285">
        <v>2018</v>
      </c>
      <c r="S285">
        <f>IF(AND(HR_Employees[[#This Row],[Attrition]]="YES",HR_Employees[[#This Row],[Exit_Date]]&lt;&gt;""),YEAR(HR_Employees[[#This Row],[Exit_Date]]),"")</f>
        <v>2018</v>
      </c>
    </row>
    <row r="286" spans="1:19">
      <c r="A286" t="s">
        <v>556</v>
      </c>
      <c r="B286" t="s">
        <v>513</v>
      </c>
      <c r="C286">
        <v>30</v>
      </c>
      <c r="D286" t="s">
        <v>31</v>
      </c>
      <c r="E286" t="s">
        <v>21</v>
      </c>
      <c r="F286" t="s">
        <v>47</v>
      </c>
      <c r="G286" t="s">
        <v>33</v>
      </c>
      <c r="H286" s="2">
        <v>44859</v>
      </c>
      <c r="I286" s="2" t="str">
        <f>IFERROR(VLOOKUP(HR_Employees[[#This Row],[Employee_ID]],'[1]Synthetic Exit Data'!$A$2:$E$235,4,0)," NA")</f>
        <v>2022-12-24</v>
      </c>
      <c r="J286" t="s">
        <v>49</v>
      </c>
      <c r="K286">
        <v>3</v>
      </c>
      <c r="L286" s="3">
        <v>24315</v>
      </c>
      <c r="M286" t="s">
        <v>82</v>
      </c>
      <c r="N286" t="s">
        <v>50</v>
      </c>
      <c r="O286">
        <v>3.92</v>
      </c>
      <c r="P286" t="s">
        <v>57</v>
      </c>
      <c r="Q286" t="s">
        <v>28</v>
      </c>
      <c r="R286">
        <v>2022</v>
      </c>
      <c r="S286">
        <f>IF(AND(HR_Employees[[#This Row],[Attrition]]="YES",HR_Employees[[#This Row],[Exit_Date]]&lt;&gt;""),YEAR(HR_Employees[[#This Row],[Exit_Date]]),"")</f>
        <v>2022</v>
      </c>
    </row>
    <row r="287" spans="1:19">
      <c r="A287" t="s">
        <v>557</v>
      </c>
      <c r="B287" t="s">
        <v>558</v>
      </c>
      <c r="C287">
        <v>21</v>
      </c>
      <c r="D287" t="s">
        <v>39</v>
      </c>
      <c r="E287" t="s">
        <v>21</v>
      </c>
      <c r="F287" t="s">
        <v>22</v>
      </c>
      <c r="G287" t="s">
        <v>23</v>
      </c>
      <c r="H287" s="2">
        <v>44025</v>
      </c>
      <c r="I287" s="2" t="str">
        <f>IFERROR(VLOOKUP(HR_Employees[[#This Row],[Employee_ID]],'[1]Synthetic Exit Data'!$A$2:$E$235,4,0)," NA")</f>
        <v xml:space="preserve"> NA</v>
      </c>
      <c r="J287" t="s">
        <v>24</v>
      </c>
      <c r="K287">
        <v>5</v>
      </c>
      <c r="L287" s="3">
        <v>96488</v>
      </c>
      <c r="M287" t="s">
        <v>66</v>
      </c>
      <c r="N287" t="s">
        <v>79</v>
      </c>
      <c r="O287">
        <v>6.25</v>
      </c>
      <c r="P287" t="s">
        <v>51</v>
      </c>
      <c r="Q287" t="s">
        <v>76</v>
      </c>
      <c r="R287">
        <v>2020</v>
      </c>
      <c r="S287" t="str">
        <f>IF(AND(HR_Employees[[#This Row],[Attrition]]="YES",HR_Employees[[#This Row],[Exit_Date]]&lt;&gt;""),YEAR(HR_Employees[[#This Row],[Exit_Date]]),"")</f>
        <v/>
      </c>
    </row>
    <row r="288" spans="1:19">
      <c r="A288" t="s">
        <v>559</v>
      </c>
      <c r="B288" t="s">
        <v>340</v>
      </c>
      <c r="C288">
        <v>27</v>
      </c>
      <c r="D288" t="s">
        <v>31</v>
      </c>
      <c r="E288" t="s">
        <v>32</v>
      </c>
      <c r="F288" t="s">
        <v>47</v>
      </c>
      <c r="G288" t="s">
        <v>33</v>
      </c>
      <c r="H288" s="2">
        <v>45243</v>
      </c>
      <c r="I288" s="2" t="str">
        <f>IFERROR(VLOOKUP(HR_Employees[[#This Row],[Employee_ID]],'[1]Synthetic Exit Data'!$A$2:$E$235,4,0)," NA")</f>
        <v xml:space="preserve"> NA</v>
      </c>
      <c r="J288" t="s">
        <v>24</v>
      </c>
      <c r="K288">
        <v>5</v>
      </c>
      <c r="L288" s="3">
        <v>37128</v>
      </c>
      <c r="M288" t="s">
        <v>42</v>
      </c>
      <c r="N288" t="s">
        <v>56</v>
      </c>
      <c r="O288">
        <v>2.92</v>
      </c>
      <c r="P288" t="s">
        <v>57</v>
      </c>
      <c r="Q288" t="s">
        <v>28</v>
      </c>
      <c r="R288">
        <v>2023</v>
      </c>
      <c r="S288" t="str">
        <f>IF(AND(HR_Employees[[#This Row],[Attrition]]="YES",HR_Employees[[#This Row],[Exit_Date]]&lt;&gt;""),YEAR(HR_Employees[[#This Row],[Exit_Date]]),"")</f>
        <v/>
      </c>
    </row>
    <row r="289" spans="1:19">
      <c r="A289" t="s">
        <v>560</v>
      </c>
      <c r="B289" t="s">
        <v>561</v>
      </c>
      <c r="C289">
        <v>36</v>
      </c>
      <c r="D289" t="s">
        <v>61</v>
      </c>
      <c r="E289" t="s">
        <v>21</v>
      </c>
      <c r="F289" t="s">
        <v>22</v>
      </c>
      <c r="G289" t="s">
        <v>23</v>
      </c>
      <c r="H289" s="2">
        <v>45243</v>
      </c>
      <c r="I289" s="2" t="str">
        <f>IFERROR(VLOOKUP(HR_Employees[[#This Row],[Employee_ID]],'[1]Synthetic Exit Data'!$A$2:$E$235,4,0)," NA")</f>
        <v xml:space="preserve"> NA</v>
      </c>
      <c r="J289" t="s">
        <v>24</v>
      </c>
      <c r="K289">
        <v>4</v>
      </c>
      <c r="L289" s="3">
        <v>47252</v>
      </c>
      <c r="M289" t="s">
        <v>42</v>
      </c>
      <c r="N289" t="s">
        <v>56</v>
      </c>
      <c r="O289">
        <v>2.92</v>
      </c>
      <c r="P289" t="s">
        <v>27</v>
      </c>
      <c r="Q289" t="s">
        <v>92</v>
      </c>
      <c r="R289">
        <v>2023</v>
      </c>
      <c r="S289" t="str">
        <f>IF(AND(HR_Employees[[#This Row],[Attrition]]="YES",HR_Employees[[#This Row],[Exit_Date]]&lt;&gt;""),YEAR(HR_Employees[[#This Row],[Exit_Date]]),"")</f>
        <v/>
      </c>
    </row>
    <row r="290" spans="1:19">
      <c r="A290" t="s">
        <v>562</v>
      </c>
      <c r="B290" t="s">
        <v>479</v>
      </c>
      <c r="C290">
        <v>25</v>
      </c>
      <c r="D290" t="s">
        <v>39</v>
      </c>
      <c r="E290" t="s">
        <v>32</v>
      </c>
      <c r="F290" t="s">
        <v>47</v>
      </c>
      <c r="G290" t="s">
        <v>41</v>
      </c>
      <c r="H290" s="2">
        <v>46035</v>
      </c>
      <c r="I290" s="2" t="str">
        <f>IFERROR(VLOOKUP(HR_Employees[[#This Row],[Employee_ID]],'[1]Synthetic Exit Data'!$A$2:$E$235,4,0)," NA")</f>
        <v xml:space="preserve"> NA</v>
      </c>
      <c r="J290" t="s">
        <v>24</v>
      </c>
      <c r="K290">
        <v>3</v>
      </c>
      <c r="L290" s="3">
        <v>39093</v>
      </c>
      <c r="M290" t="s">
        <v>42</v>
      </c>
      <c r="N290" t="s">
        <v>43</v>
      </c>
      <c r="O290">
        <v>0.75</v>
      </c>
      <c r="P290" t="s">
        <v>35</v>
      </c>
      <c r="Q290" t="s">
        <v>28</v>
      </c>
      <c r="R290">
        <v>2026</v>
      </c>
      <c r="S290" t="str">
        <f>IF(AND(HR_Employees[[#This Row],[Attrition]]="YES",HR_Employees[[#This Row],[Exit_Date]]&lt;&gt;""),YEAR(HR_Employees[[#This Row],[Exit_Date]]),"")</f>
        <v/>
      </c>
    </row>
    <row r="291" spans="1:19">
      <c r="A291" t="s">
        <v>563</v>
      </c>
      <c r="B291" t="s">
        <v>96</v>
      </c>
      <c r="C291">
        <v>37</v>
      </c>
      <c r="D291" t="s">
        <v>61</v>
      </c>
      <c r="E291" t="s">
        <v>21</v>
      </c>
      <c r="F291" t="s">
        <v>47</v>
      </c>
      <c r="G291" t="s">
        <v>23</v>
      </c>
      <c r="H291" s="2">
        <v>46125</v>
      </c>
      <c r="I291" s="2" t="str">
        <f>IFERROR(VLOOKUP(HR_Employees[[#This Row],[Employee_ID]],'[1]Synthetic Exit Data'!$A$2:$E$235,4,0)," NA")</f>
        <v xml:space="preserve"> NA</v>
      </c>
      <c r="J291" t="s">
        <v>24</v>
      </c>
      <c r="K291">
        <v>1</v>
      </c>
      <c r="L291" s="3">
        <v>31295</v>
      </c>
      <c r="M291" t="s">
        <v>42</v>
      </c>
      <c r="N291" t="s">
        <v>43</v>
      </c>
      <c r="O291">
        <v>0.5</v>
      </c>
      <c r="P291" t="s">
        <v>51</v>
      </c>
      <c r="Q291" t="s">
        <v>86</v>
      </c>
      <c r="R291">
        <v>2026</v>
      </c>
      <c r="S291" t="str">
        <f>IF(AND(HR_Employees[[#This Row],[Attrition]]="YES",HR_Employees[[#This Row],[Exit_Date]]&lt;&gt;""),YEAR(HR_Employees[[#This Row],[Exit_Date]]),"")</f>
        <v/>
      </c>
    </row>
    <row r="292" spans="1:19">
      <c r="A292" t="s">
        <v>564</v>
      </c>
      <c r="B292" t="s">
        <v>88</v>
      </c>
      <c r="C292">
        <v>39</v>
      </c>
      <c r="D292" t="s">
        <v>61</v>
      </c>
      <c r="E292" t="s">
        <v>32</v>
      </c>
      <c r="F292" t="s">
        <v>40</v>
      </c>
      <c r="G292" t="s">
        <v>33</v>
      </c>
      <c r="H292" s="2">
        <v>46247</v>
      </c>
      <c r="I292" s="2" t="str">
        <f>IFERROR(VLOOKUP(HR_Employees[[#This Row],[Employee_ID]],'[1]Synthetic Exit Data'!$A$2:$E$235,4,0)," NA")</f>
        <v xml:space="preserve"> NA</v>
      </c>
      <c r="J292" t="s">
        <v>24</v>
      </c>
      <c r="K292">
        <v>3</v>
      </c>
      <c r="L292" s="3">
        <v>60900</v>
      </c>
      <c r="M292" t="s">
        <v>34</v>
      </c>
      <c r="N292" t="s">
        <v>43</v>
      </c>
      <c r="O292">
        <v>0.17</v>
      </c>
      <c r="P292" t="s">
        <v>27</v>
      </c>
      <c r="Q292" t="s">
        <v>62</v>
      </c>
      <c r="R292">
        <v>2026</v>
      </c>
      <c r="S292" t="str">
        <f>IF(AND(HR_Employees[[#This Row],[Attrition]]="YES",HR_Employees[[#This Row],[Exit_Date]]&lt;&gt;""),YEAR(HR_Employees[[#This Row],[Exit_Date]]),"")</f>
        <v/>
      </c>
    </row>
    <row r="293" spans="1:19">
      <c r="A293" t="s">
        <v>565</v>
      </c>
      <c r="B293" t="s">
        <v>38</v>
      </c>
      <c r="C293">
        <v>24</v>
      </c>
      <c r="D293" t="s">
        <v>39</v>
      </c>
      <c r="E293" t="s">
        <v>32</v>
      </c>
      <c r="F293" t="s">
        <v>40</v>
      </c>
      <c r="G293" t="s">
        <v>41</v>
      </c>
      <c r="H293" s="2">
        <v>45425</v>
      </c>
      <c r="I293" s="2" t="str">
        <f>IFERROR(VLOOKUP(HR_Employees[[#This Row],[Employee_ID]],'[1]Synthetic Exit Data'!$A$2:$E$235,4,0)," NA")</f>
        <v xml:space="preserve"> NA</v>
      </c>
      <c r="J293" t="s">
        <v>24</v>
      </c>
      <c r="K293">
        <v>4</v>
      </c>
      <c r="L293" s="3">
        <v>113020</v>
      </c>
      <c r="M293" t="s">
        <v>25</v>
      </c>
      <c r="N293" t="s">
        <v>56</v>
      </c>
      <c r="O293">
        <v>2.42</v>
      </c>
      <c r="P293" t="s">
        <v>27</v>
      </c>
      <c r="Q293" t="s">
        <v>44</v>
      </c>
      <c r="R293">
        <v>2024</v>
      </c>
      <c r="S293" t="str">
        <f>IF(AND(HR_Employees[[#This Row],[Attrition]]="YES",HR_Employees[[#This Row],[Exit_Date]]&lt;&gt;""),YEAR(HR_Employees[[#This Row],[Exit_Date]]),"")</f>
        <v/>
      </c>
    </row>
    <row r="294" spans="1:19">
      <c r="A294" t="s">
        <v>566</v>
      </c>
      <c r="B294" t="s">
        <v>567</v>
      </c>
      <c r="C294">
        <v>32</v>
      </c>
      <c r="D294" t="s">
        <v>31</v>
      </c>
      <c r="E294" t="s">
        <v>32</v>
      </c>
      <c r="F294" t="s">
        <v>151</v>
      </c>
      <c r="G294" t="s">
        <v>23</v>
      </c>
      <c r="H294" s="2">
        <v>43659</v>
      </c>
      <c r="I294" s="2" t="str">
        <f>IFERROR(VLOOKUP(HR_Employees[[#This Row],[Employee_ID]],'[1]Synthetic Exit Data'!$A$2:$E$235,4,0)," NA")</f>
        <v xml:space="preserve"> NA</v>
      </c>
      <c r="J294" t="s">
        <v>24</v>
      </c>
      <c r="K294">
        <v>4</v>
      </c>
      <c r="L294" s="3">
        <v>25628</v>
      </c>
      <c r="M294" t="s">
        <v>82</v>
      </c>
      <c r="N294" t="s">
        <v>79</v>
      </c>
      <c r="O294">
        <v>7.25</v>
      </c>
      <c r="P294" t="s">
        <v>35</v>
      </c>
      <c r="Q294" t="s">
        <v>76</v>
      </c>
      <c r="R294">
        <v>2019</v>
      </c>
      <c r="S294" t="str">
        <f>IF(AND(HR_Employees[[#This Row],[Attrition]]="YES",HR_Employees[[#This Row],[Exit_Date]]&lt;&gt;""),YEAR(HR_Employees[[#This Row],[Exit_Date]]),"")</f>
        <v/>
      </c>
    </row>
    <row r="295" spans="1:19">
      <c r="A295" t="s">
        <v>568</v>
      </c>
      <c r="B295" t="s">
        <v>569</v>
      </c>
      <c r="C295">
        <v>45</v>
      </c>
      <c r="D295" t="s">
        <v>61</v>
      </c>
      <c r="E295" t="s">
        <v>32</v>
      </c>
      <c r="F295" t="s">
        <v>65</v>
      </c>
      <c r="G295" t="s">
        <v>33</v>
      </c>
      <c r="H295" s="2">
        <v>43964</v>
      </c>
      <c r="I295" s="2" t="str">
        <f>IFERROR(VLOOKUP(HR_Employees[[#This Row],[Employee_ID]],'[1]Synthetic Exit Data'!$A$2:$E$235,4,0)," NA")</f>
        <v xml:space="preserve"> NA</v>
      </c>
      <c r="J295" t="s">
        <v>24</v>
      </c>
      <c r="K295">
        <v>2</v>
      </c>
      <c r="L295" s="3">
        <v>89091</v>
      </c>
      <c r="M295" t="s">
        <v>66</v>
      </c>
      <c r="N295" t="s">
        <v>79</v>
      </c>
      <c r="O295">
        <v>6.42</v>
      </c>
      <c r="P295" t="s">
        <v>35</v>
      </c>
      <c r="Q295" t="s">
        <v>44</v>
      </c>
      <c r="R295">
        <v>2020</v>
      </c>
      <c r="S295" t="str">
        <f>IF(AND(HR_Employees[[#This Row],[Attrition]]="YES",HR_Employees[[#This Row],[Exit_Date]]&lt;&gt;""),YEAR(HR_Employees[[#This Row],[Exit_Date]]),"")</f>
        <v/>
      </c>
    </row>
    <row r="296" spans="1:19">
      <c r="A296" t="s">
        <v>570</v>
      </c>
      <c r="B296" t="s">
        <v>571</v>
      </c>
      <c r="C296">
        <v>33</v>
      </c>
      <c r="D296" t="s">
        <v>31</v>
      </c>
      <c r="E296" t="s">
        <v>21</v>
      </c>
      <c r="F296" t="s">
        <v>151</v>
      </c>
      <c r="G296" t="s">
        <v>114</v>
      </c>
      <c r="H296" s="2">
        <v>46070</v>
      </c>
      <c r="I296" s="2" t="str">
        <f>IFERROR(VLOOKUP(HR_Employees[[#This Row],[Employee_ID]],'[1]Synthetic Exit Data'!$A$2:$E$235,4,0)," NA")</f>
        <v>2026-04-02</v>
      </c>
      <c r="J296" t="s">
        <v>49</v>
      </c>
      <c r="K296">
        <v>3</v>
      </c>
      <c r="L296" s="3">
        <v>85225</v>
      </c>
      <c r="M296" t="s">
        <v>66</v>
      </c>
      <c r="N296" t="s">
        <v>43</v>
      </c>
      <c r="O296">
        <v>0.57999999999999996</v>
      </c>
      <c r="P296" t="s">
        <v>83</v>
      </c>
      <c r="Q296" t="s">
        <v>36</v>
      </c>
      <c r="R296">
        <v>2026</v>
      </c>
      <c r="S296">
        <f>IF(AND(HR_Employees[[#This Row],[Attrition]]="YES",HR_Employees[[#This Row],[Exit_Date]]&lt;&gt;""),YEAR(HR_Employees[[#This Row],[Exit_Date]]),"")</f>
        <v>2026</v>
      </c>
    </row>
    <row r="297" spans="1:19">
      <c r="A297" t="s">
        <v>572</v>
      </c>
      <c r="B297" t="s">
        <v>212</v>
      </c>
      <c r="C297">
        <v>47</v>
      </c>
      <c r="D297" t="s">
        <v>20</v>
      </c>
      <c r="E297" t="s">
        <v>32</v>
      </c>
      <c r="F297" t="s">
        <v>47</v>
      </c>
      <c r="G297" t="s">
        <v>23</v>
      </c>
      <c r="H297" s="2">
        <v>42351</v>
      </c>
      <c r="I297" s="2" t="str">
        <f>IFERROR(VLOOKUP(HR_Employees[[#This Row],[Employee_ID]],'[1]Synthetic Exit Data'!$A$2:$E$235,4,0)," NA")</f>
        <v xml:space="preserve"> NA</v>
      </c>
      <c r="J297" t="s">
        <v>24</v>
      </c>
      <c r="K297">
        <v>3</v>
      </c>
      <c r="L297" s="3">
        <v>51432</v>
      </c>
      <c r="M297" t="s">
        <v>34</v>
      </c>
      <c r="N297" t="s">
        <v>26</v>
      </c>
      <c r="O297">
        <v>10.83</v>
      </c>
      <c r="P297" t="s">
        <v>27</v>
      </c>
      <c r="Q297" t="s">
        <v>28</v>
      </c>
      <c r="R297">
        <v>2015</v>
      </c>
      <c r="S297" t="str">
        <f>IF(AND(HR_Employees[[#This Row],[Attrition]]="YES",HR_Employees[[#This Row],[Exit_Date]]&lt;&gt;""),YEAR(HR_Employees[[#This Row],[Exit_Date]]),"")</f>
        <v/>
      </c>
    </row>
    <row r="298" spans="1:19">
      <c r="A298" t="s">
        <v>573</v>
      </c>
      <c r="B298" t="s">
        <v>134</v>
      </c>
      <c r="C298">
        <v>34</v>
      </c>
      <c r="D298" t="s">
        <v>31</v>
      </c>
      <c r="E298" t="s">
        <v>32</v>
      </c>
      <c r="F298" t="s">
        <v>55</v>
      </c>
      <c r="G298" t="s">
        <v>48</v>
      </c>
      <c r="H298" s="2">
        <v>44786</v>
      </c>
      <c r="I298" s="2" t="str">
        <f>IFERROR(VLOOKUP(HR_Employees[[#This Row],[Employee_ID]],'[1]Synthetic Exit Data'!$A$2:$E$235,4,0)," NA")</f>
        <v xml:space="preserve"> NA</v>
      </c>
      <c r="J298" t="s">
        <v>24</v>
      </c>
      <c r="K298">
        <v>3</v>
      </c>
      <c r="L298" s="3">
        <v>31682</v>
      </c>
      <c r="M298" t="s">
        <v>42</v>
      </c>
      <c r="N298" t="s">
        <v>50</v>
      </c>
      <c r="O298">
        <v>4.17</v>
      </c>
      <c r="P298" t="s">
        <v>51</v>
      </c>
      <c r="Q298" t="s">
        <v>44</v>
      </c>
      <c r="R298">
        <v>2022</v>
      </c>
      <c r="S298" t="str">
        <f>IF(AND(HR_Employees[[#This Row],[Attrition]]="YES",HR_Employees[[#This Row],[Exit_Date]]&lt;&gt;""),YEAR(HR_Employees[[#This Row],[Exit_Date]]),"")</f>
        <v/>
      </c>
    </row>
    <row r="299" spans="1:19">
      <c r="A299" t="s">
        <v>574</v>
      </c>
      <c r="B299" t="s">
        <v>332</v>
      </c>
      <c r="C299">
        <v>33</v>
      </c>
      <c r="D299" t="s">
        <v>31</v>
      </c>
      <c r="E299" t="s">
        <v>32</v>
      </c>
      <c r="F299" t="s">
        <v>47</v>
      </c>
      <c r="G299" t="s">
        <v>23</v>
      </c>
      <c r="H299" s="2">
        <v>41499</v>
      </c>
      <c r="I299" s="2" t="str">
        <f>IFERROR(VLOOKUP(HR_Employees[[#This Row],[Employee_ID]],'[1]Synthetic Exit Data'!$A$2:$E$235,4,0)," NA")</f>
        <v xml:space="preserve"> NA</v>
      </c>
      <c r="J299" t="s">
        <v>24</v>
      </c>
      <c r="K299">
        <v>3</v>
      </c>
      <c r="L299" s="3">
        <v>80745</v>
      </c>
      <c r="M299" t="s">
        <v>66</v>
      </c>
      <c r="N299" t="s">
        <v>26</v>
      </c>
      <c r="O299">
        <v>13.17</v>
      </c>
      <c r="P299" t="s">
        <v>57</v>
      </c>
      <c r="Q299" t="s">
        <v>92</v>
      </c>
      <c r="R299">
        <v>2013</v>
      </c>
      <c r="S299" t="str">
        <f>IF(AND(HR_Employees[[#This Row],[Attrition]]="YES",HR_Employees[[#This Row],[Exit_Date]]&lt;&gt;""),YEAR(HR_Employees[[#This Row],[Exit_Date]]),"")</f>
        <v/>
      </c>
    </row>
    <row r="300" spans="1:19">
      <c r="A300" t="s">
        <v>575</v>
      </c>
      <c r="B300" t="s">
        <v>576</v>
      </c>
      <c r="C300">
        <v>34</v>
      </c>
      <c r="D300" t="s">
        <v>31</v>
      </c>
      <c r="E300" t="s">
        <v>32</v>
      </c>
      <c r="F300" t="s">
        <v>47</v>
      </c>
      <c r="G300" t="s">
        <v>23</v>
      </c>
      <c r="H300" s="2">
        <v>45821</v>
      </c>
      <c r="I300" s="2" t="str">
        <f>IFERROR(VLOOKUP(HR_Employees[[#This Row],[Employee_ID]],'[1]Synthetic Exit Data'!$A$2:$E$235,4,0)," NA")</f>
        <v xml:space="preserve"> NA</v>
      </c>
      <c r="J300" t="s">
        <v>24</v>
      </c>
      <c r="K300">
        <v>3</v>
      </c>
      <c r="L300" s="3">
        <v>25642</v>
      </c>
      <c r="M300" t="s">
        <v>82</v>
      </c>
      <c r="N300" t="s">
        <v>56</v>
      </c>
      <c r="O300">
        <v>1.33</v>
      </c>
      <c r="P300" t="s">
        <v>125</v>
      </c>
      <c r="Q300" t="s">
        <v>92</v>
      </c>
      <c r="R300">
        <v>2025</v>
      </c>
      <c r="S300" t="str">
        <f>IF(AND(HR_Employees[[#This Row],[Attrition]]="YES",HR_Employees[[#This Row],[Exit_Date]]&lt;&gt;""),YEAR(HR_Employees[[#This Row],[Exit_Date]]),"")</f>
        <v/>
      </c>
    </row>
    <row r="301" spans="1:19">
      <c r="A301" t="s">
        <v>577</v>
      </c>
      <c r="B301" t="s">
        <v>401</v>
      </c>
      <c r="C301">
        <v>22</v>
      </c>
      <c r="D301" t="s">
        <v>39</v>
      </c>
      <c r="E301" t="s">
        <v>21</v>
      </c>
      <c r="F301" t="s">
        <v>40</v>
      </c>
      <c r="G301" t="s">
        <v>33</v>
      </c>
      <c r="H301" s="2">
        <v>45273</v>
      </c>
      <c r="I301" s="2" t="str">
        <f>IFERROR(VLOOKUP(HR_Employees[[#This Row],[Employee_ID]],'[1]Synthetic Exit Data'!$A$2:$E$235,4,0)," NA")</f>
        <v xml:space="preserve"> NA</v>
      </c>
      <c r="J301" t="s">
        <v>24</v>
      </c>
      <c r="K301">
        <v>3</v>
      </c>
      <c r="L301" s="3">
        <v>148652</v>
      </c>
      <c r="M301" t="s">
        <v>25</v>
      </c>
      <c r="N301" t="s">
        <v>56</v>
      </c>
      <c r="O301">
        <v>2.83</v>
      </c>
      <c r="P301" t="s">
        <v>57</v>
      </c>
      <c r="Q301" t="s">
        <v>92</v>
      </c>
      <c r="R301">
        <v>2023</v>
      </c>
      <c r="S301" t="str">
        <f>IF(AND(HR_Employees[[#This Row],[Attrition]]="YES",HR_Employees[[#This Row],[Exit_Date]]&lt;&gt;""),YEAR(HR_Employees[[#This Row],[Exit_Date]]),"")</f>
        <v/>
      </c>
    </row>
    <row r="302" spans="1:19">
      <c r="A302" t="s">
        <v>578</v>
      </c>
      <c r="B302" t="s">
        <v>479</v>
      </c>
      <c r="C302">
        <v>51</v>
      </c>
      <c r="D302" t="s">
        <v>20</v>
      </c>
      <c r="E302" t="s">
        <v>21</v>
      </c>
      <c r="F302" t="s">
        <v>109</v>
      </c>
      <c r="G302" t="s">
        <v>23</v>
      </c>
      <c r="H302" s="2">
        <v>45670</v>
      </c>
      <c r="I302" s="2" t="str">
        <f>IFERROR(VLOOKUP(HR_Employees[[#This Row],[Employee_ID]],'[1]Synthetic Exit Data'!$A$2:$E$235,4,0)," NA")</f>
        <v xml:space="preserve"> NA</v>
      </c>
      <c r="J302" t="s">
        <v>24</v>
      </c>
      <c r="K302">
        <v>2</v>
      </c>
      <c r="L302" s="3">
        <v>95959</v>
      </c>
      <c r="M302" t="s">
        <v>66</v>
      </c>
      <c r="N302" t="s">
        <v>56</v>
      </c>
      <c r="O302">
        <v>1.75</v>
      </c>
      <c r="P302" t="s">
        <v>125</v>
      </c>
      <c r="Q302" t="s">
        <v>58</v>
      </c>
      <c r="R302">
        <v>2025</v>
      </c>
      <c r="S302" t="str">
        <f>IF(AND(HR_Employees[[#This Row],[Attrition]]="YES",HR_Employees[[#This Row],[Exit_Date]]&lt;&gt;""),YEAR(HR_Employees[[#This Row],[Exit_Date]]),"")</f>
        <v/>
      </c>
    </row>
    <row r="303" spans="1:19">
      <c r="A303" t="s">
        <v>579</v>
      </c>
      <c r="B303" t="s">
        <v>580</v>
      </c>
      <c r="C303">
        <v>24</v>
      </c>
      <c r="D303" t="s">
        <v>39</v>
      </c>
      <c r="E303" t="s">
        <v>32</v>
      </c>
      <c r="F303" t="s">
        <v>40</v>
      </c>
      <c r="G303" t="s">
        <v>23</v>
      </c>
      <c r="H303" s="2">
        <v>41876</v>
      </c>
      <c r="I303" s="2" t="str">
        <f>IFERROR(VLOOKUP(HR_Employees[[#This Row],[Employee_ID]],'[1]Synthetic Exit Data'!$A$2:$E$235,4,0)," NA")</f>
        <v>2017-01-23</v>
      </c>
      <c r="J303" t="s">
        <v>49</v>
      </c>
      <c r="K303">
        <v>3</v>
      </c>
      <c r="L303" s="3">
        <v>22371</v>
      </c>
      <c r="M303" t="s">
        <v>82</v>
      </c>
      <c r="N303" t="s">
        <v>26</v>
      </c>
      <c r="O303">
        <v>12.08</v>
      </c>
      <c r="P303" t="s">
        <v>35</v>
      </c>
      <c r="Q303" t="s">
        <v>62</v>
      </c>
      <c r="R303">
        <v>2014</v>
      </c>
      <c r="S303">
        <f>IF(AND(HR_Employees[[#This Row],[Attrition]]="YES",HR_Employees[[#This Row],[Exit_Date]]&lt;&gt;""),YEAR(HR_Employees[[#This Row],[Exit_Date]]),"")</f>
        <v>2017</v>
      </c>
    </row>
    <row r="304" spans="1:19">
      <c r="A304" t="s">
        <v>581</v>
      </c>
      <c r="B304" t="s">
        <v>440</v>
      </c>
      <c r="C304">
        <v>22</v>
      </c>
      <c r="D304" t="s">
        <v>39</v>
      </c>
      <c r="E304" t="s">
        <v>21</v>
      </c>
      <c r="F304" t="s">
        <v>47</v>
      </c>
      <c r="G304" t="s">
        <v>23</v>
      </c>
      <c r="H304" s="2">
        <v>45639</v>
      </c>
      <c r="I304" s="2" t="str">
        <f>IFERROR(VLOOKUP(HR_Employees[[#This Row],[Employee_ID]],'[1]Synthetic Exit Data'!$A$2:$E$235,4,0)," NA")</f>
        <v xml:space="preserve"> NA</v>
      </c>
      <c r="J304" t="s">
        <v>24</v>
      </c>
      <c r="K304">
        <v>3</v>
      </c>
      <c r="L304" s="3">
        <v>40905</v>
      </c>
      <c r="M304" t="s">
        <v>42</v>
      </c>
      <c r="N304" t="s">
        <v>56</v>
      </c>
      <c r="O304">
        <v>1.83</v>
      </c>
      <c r="P304" t="s">
        <v>35</v>
      </c>
      <c r="Q304" t="s">
        <v>58</v>
      </c>
      <c r="R304">
        <v>2024</v>
      </c>
      <c r="S304" t="str">
        <f>IF(AND(HR_Employees[[#This Row],[Attrition]]="YES",HR_Employees[[#This Row],[Exit_Date]]&lt;&gt;""),YEAR(HR_Employees[[#This Row],[Exit_Date]]),"")</f>
        <v/>
      </c>
    </row>
    <row r="305" spans="1:19">
      <c r="A305" t="s">
        <v>582</v>
      </c>
      <c r="B305" t="s">
        <v>269</v>
      </c>
      <c r="C305">
        <v>44</v>
      </c>
      <c r="D305" t="s">
        <v>61</v>
      </c>
      <c r="E305" t="s">
        <v>32</v>
      </c>
      <c r="F305" t="s">
        <v>109</v>
      </c>
      <c r="G305" t="s">
        <v>41</v>
      </c>
      <c r="H305" s="2">
        <v>43172</v>
      </c>
      <c r="I305" s="2" t="str">
        <f>IFERROR(VLOOKUP(HR_Employees[[#This Row],[Employee_ID]],'[1]Synthetic Exit Data'!$A$2:$E$235,4,0)," NA")</f>
        <v xml:space="preserve"> NA</v>
      </c>
      <c r="J305" t="s">
        <v>24</v>
      </c>
      <c r="K305">
        <v>4</v>
      </c>
      <c r="L305" s="3">
        <v>67168</v>
      </c>
      <c r="M305" t="s">
        <v>34</v>
      </c>
      <c r="N305" t="s">
        <v>79</v>
      </c>
      <c r="O305">
        <v>8.58</v>
      </c>
      <c r="P305" t="s">
        <v>51</v>
      </c>
      <c r="Q305" t="s">
        <v>76</v>
      </c>
      <c r="R305">
        <v>2018</v>
      </c>
      <c r="S305" t="str">
        <f>IF(AND(HR_Employees[[#This Row],[Attrition]]="YES",HR_Employees[[#This Row],[Exit_Date]]&lt;&gt;""),YEAR(HR_Employees[[#This Row],[Exit_Date]]),"")</f>
        <v/>
      </c>
    </row>
    <row r="306" spans="1:19">
      <c r="A306" t="s">
        <v>583</v>
      </c>
      <c r="B306" t="s">
        <v>255</v>
      </c>
      <c r="C306">
        <v>32</v>
      </c>
      <c r="D306" t="s">
        <v>31</v>
      </c>
      <c r="E306" t="s">
        <v>21</v>
      </c>
      <c r="F306" t="s">
        <v>55</v>
      </c>
      <c r="G306" t="s">
        <v>114</v>
      </c>
      <c r="H306" s="2">
        <v>41621</v>
      </c>
      <c r="I306" s="2" t="str">
        <f>IFERROR(VLOOKUP(HR_Employees[[#This Row],[Employee_ID]],'[1]Synthetic Exit Data'!$A$2:$E$235,4,0)," NA")</f>
        <v xml:space="preserve"> NA</v>
      </c>
      <c r="J306" t="s">
        <v>24</v>
      </c>
      <c r="K306">
        <v>3</v>
      </c>
      <c r="L306" s="3">
        <v>22684</v>
      </c>
      <c r="M306" t="s">
        <v>82</v>
      </c>
      <c r="N306" t="s">
        <v>26</v>
      </c>
      <c r="O306">
        <v>12.83</v>
      </c>
      <c r="P306" t="s">
        <v>125</v>
      </c>
      <c r="Q306" t="s">
        <v>28</v>
      </c>
      <c r="R306">
        <v>2013</v>
      </c>
      <c r="S306" t="str">
        <f>IF(AND(HR_Employees[[#This Row],[Attrition]]="YES",HR_Employees[[#This Row],[Exit_Date]]&lt;&gt;""),YEAR(HR_Employees[[#This Row],[Exit_Date]]),"")</f>
        <v/>
      </c>
    </row>
    <row r="307" spans="1:19">
      <c r="A307" t="s">
        <v>584</v>
      </c>
      <c r="B307" t="s">
        <v>585</v>
      </c>
      <c r="C307">
        <v>54</v>
      </c>
      <c r="D307" t="s">
        <v>20</v>
      </c>
      <c r="E307" t="s">
        <v>32</v>
      </c>
      <c r="F307" t="s">
        <v>151</v>
      </c>
      <c r="G307" t="s">
        <v>23</v>
      </c>
      <c r="H307" s="2">
        <v>45395</v>
      </c>
      <c r="I307" s="2" t="str">
        <f>IFERROR(VLOOKUP(HR_Employees[[#This Row],[Employee_ID]],'[1]Synthetic Exit Data'!$A$2:$E$235,4,0)," NA")</f>
        <v xml:space="preserve"> NA</v>
      </c>
      <c r="J307" t="s">
        <v>24</v>
      </c>
      <c r="K307">
        <v>5</v>
      </c>
      <c r="L307" s="3">
        <v>33393</v>
      </c>
      <c r="M307" t="s">
        <v>42</v>
      </c>
      <c r="N307" t="s">
        <v>56</v>
      </c>
      <c r="O307">
        <v>2.5</v>
      </c>
      <c r="P307" t="s">
        <v>27</v>
      </c>
      <c r="Q307" t="s">
        <v>76</v>
      </c>
      <c r="R307">
        <v>2024</v>
      </c>
      <c r="S307" t="str">
        <f>IF(AND(HR_Employees[[#This Row],[Attrition]]="YES",HR_Employees[[#This Row],[Exit_Date]]&lt;&gt;""),YEAR(HR_Employees[[#This Row],[Exit_Date]]),"")</f>
        <v/>
      </c>
    </row>
    <row r="308" spans="1:19">
      <c r="A308" t="s">
        <v>586</v>
      </c>
      <c r="B308" t="s">
        <v>251</v>
      </c>
      <c r="C308">
        <v>35</v>
      </c>
      <c r="D308" t="s">
        <v>31</v>
      </c>
      <c r="E308" t="s">
        <v>21</v>
      </c>
      <c r="F308" t="s">
        <v>55</v>
      </c>
      <c r="G308" t="s">
        <v>23</v>
      </c>
      <c r="H308" s="2">
        <v>46186</v>
      </c>
      <c r="I308" s="2" t="str">
        <f>IFERROR(VLOOKUP(HR_Employees[[#This Row],[Employee_ID]],'[1]Synthetic Exit Data'!$A$2:$E$235,4,0)," NA")</f>
        <v xml:space="preserve"> NA</v>
      </c>
      <c r="J308" t="s">
        <v>24</v>
      </c>
      <c r="K308">
        <v>2</v>
      </c>
      <c r="L308" s="3">
        <v>19781</v>
      </c>
      <c r="M308" t="s">
        <v>82</v>
      </c>
      <c r="N308" t="s">
        <v>43</v>
      </c>
      <c r="O308">
        <v>0.33</v>
      </c>
      <c r="P308" t="s">
        <v>125</v>
      </c>
      <c r="Q308" t="s">
        <v>62</v>
      </c>
      <c r="R308">
        <v>2026</v>
      </c>
      <c r="S308" t="str">
        <f>IF(AND(HR_Employees[[#This Row],[Attrition]]="YES",HR_Employees[[#This Row],[Exit_Date]]&lt;&gt;""),YEAR(HR_Employees[[#This Row],[Exit_Date]]),"")</f>
        <v/>
      </c>
    </row>
    <row r="309" spans="1:19">
      <c r="A309" t="s">
        <v>587</v>
      </c>
      <c r="B309" t="s">
        <v>588</v>
      </c>
      <c r="C309">
        <v>30</v>
      </c>
      <c r="D309" t="s">
        <v>31</v>
      </c>
      <c r="E309" t="s">
        <v>21</v>
      </c>
      <c r="F309" t="s">
        <v>151</v>
      </c>
      <c r="G309" t="s">
        <v>23</v>
      </c>
      <c r="H309" s="2">
        <v>44725</v>
      </c>
      <c r="I309" s="2" t="str">
        <f>IFERROR(VLOOKUP(HR_Employees[[#This Row],[Employee_ID]],'[1]Synthetic Exit Data'!$A$2:$E$235,4,0)," NA")</f>
        <v xml:space="preserve"> NA</v>
      </c>
      <c r="J309" t="s">
        <v>24</v>
      </c>
      <c r="K309">
        <v>4</v>
      </c>
      <c r="L309" s="3">
        <v>66735</v>
      </c>
      <c r="M309" t="s">
        <v>34</v>
      </c>
      <c r="N309" t="s">
        <v>50</v>
      </c>
      <c r="O309">
        <v>4.33</v>
      </c>
      <c r="P309" t="s">
        <v>83</v>
      </c>
      <c r="Q309" t="s">
        <v>44</v>
      </c>
      <c r="R309">
        <v>2022</v>
      </c>
      <c r="S309" t="str">
        <f>IF(AND(HR_Employees[[#This Row],[Attrition]]="YES",HR_Employees[[#This Row],[Exit_Date]]&lt;&gt;""),YEAR(HR_Employees[[#This Row],[Exit_Date]]),"")</f>
        <v/>
      </c>
    </row>
    <row r="310" spans="1:19">
      <c r="A310" t="s">
        <v>589</v>
      </c>
      <c r="B310" t="s">
        <v>590</v>
      </c>
      <c r="C310">
        <v>26</v>
      </c>
      <c r="D310" t="s">
        <v>31</v>
      </c>
      <c r="E310" t="s">
        <v>32</v>
      </c>
      <c r="F310" t="s">
        <v>151</v>
      </c>
      <c r="G310" t="s">
        <v>48</v>
      </c>
      <c r="H310" s="2">
        <v>43903</v>
      </c>
      <c r="I310" s="2" t="str">
        <f>IFERROR(VLOOKUP(HR_Employees[[#This Row],[Employee_ID]],'[1]Synthetic Exit Data'!$A$2:$E$235,4,0)," NA")</f>
        <v xml:space="preserve"> NA</v>
      </c>
      <c r="J310" t="s">
        <v>24</v>
      </c>
      <c r="K310">
        <v>4</v>
      </c>
      <c r="L310" s="3">
        <v>21369</v>
      </c>
      <c r="M310" t="s">
        <v>82</v>
      </c>
      <c r="N310" t="s">
        <v>79</v>
      </c>
      <c r="O310">
        <v>6.58</v>
      </c>
      <c r="P310" t="s">
        <v>27</v>
      </c>
      <c r="Q310" t="s">
        <v>44</v>
      </c>
      <c r="R310">
        <v>2020</v>
      </c>
      <c r="S310" t="str">
        <f>IF(AND(HR_Employees[[#This Row],[Attrition]]="YES",HR_Employees[[#This Row],[Exit_Date]]&lt;&gt;""),YEAR(HR_Employees[[#This Row],[Exit_Date]]),"")</f>
        <v/>
      </c>
    </row>
    <row r="311" spans="1:19">
      <c r="A311" t="s">
        <v>591</v>
      </c>
      <c r="B311" t="s">
        <v>236</v>
      </c>
      <c r="C311">
        <v>45</v>
      </c>
      <c r="D311" t="s">
        <v>61</v>
      </c>
      <c r="E311" t="s">
        <v>21</v>
      </c>
      <c r="F311" t="s">
        <v>40</v>
      </c>
      <c r="G311" t="s">
        <v>23</v>
      </c>
      <c r="H311" s="2">
        <v>41530</v>
      </c>
      <c r="I311" s="2" t="str">
        <f>IFERROR(VLOOKUP(HR_Employees[[#This Row],[Employee_ID]],'[1]Synthetic Exit Data'!$A$2:$E$235,4,0)," NA")</f>
        <v xml:space="preserve"> NA</v>
      </c>
      <c r="J311" t="s">
        <v>24</v>
      </c>
      <c r="K311">
        <v>3</v>
      </c>
      <c r="L311" s="3">
        <v>24614</v>
      </c>
      <c r="M311" t="s">
        <v>82</v>
      </c>
      <c r="N311" t="s">
        <v>26</v>
      </c>
      <c r="O311">
        <v>13.08</v>
      </c>
      <c r="P311" t="s">
        <v>83</v>
      </c>
      <c r="Q311" t="s">
        <v>76</v>
      </c>
      <c r="R311">
        <v>2013</v>
      </c>
      <c r="S311" t="str">
        <f>IF(AND(HR_Employees[[#This Row],[Attrition]]="YES",HR_Employees[[#This Row],[Exit_Date]]&lt;&gt;""),YEAR(HR_Employees[[#This Row],[Exit_Date]]),"")</f>
        <v/>
      </c>
    </row>
    <row r="312" spans="1:19">
      <c r="A312" t="s">
        <v>592</v>
      </c>
      <c r="B312" t="s">
        <v>593</v>
      </c>
      <c r="C312">
        <v>55</v>
      </c>
      <c r="D312" t="s">
        <v>20</v>
      </c>
      <c r="E312" t="s">
        <v>32</v>
      </c>
      <c r="F312" t="s">
        <v>109</v>
      </c>
      <c r="G312" t="s">
        <v>114</v>
      </c>
      <c r="H312" s="2">
        <v>42929</v>
      </c>
      <c r="I312" s="2" t="str">
        <f>IFERROR(VLOOKUP(HR_Employees[[#This Row],[Employee_ID]],'[1]Synthetic Exit Data'!$A$2:$E$235,4,0)," NA")</f>
        <v xml:space="preserve"> NA</v>
      </c>
      <c r="J312" t="s">
        <v>24</v>
      </c>
      <c r="K312">
        <v>3</v>
      </c>
      <c r="L312" s="3">
        <v>67979</v>
      </c>
      <c r="M312" t="s">
        <v>34</v>
      </c>
      <c r="N312" t="s">
        <v>79</v>
      </c>
      <c r="O312">
        <v>9.25</v>
      </c>
      <c r="P312" t="s">
        <v>27</v>
      </c>
      <c r="Q312" t="s">
        <v>36</v>
      </c>
      <c r="R312">
        <v>2017</v>
      </c>
      <c r="S312" t="str">
        <f>IF(AND(HR_Employees[[#This Row],[Attrition]]="YES",HR_Employees[[#This Row],[Exit_Date]]&lt;&gt;""),YEAR(HR_Employees[[#This Row],[Exit_Date]]),"")</f>
        <v/>
      </c>
    </row>
    <row r="313" spans="1:19">
      <c r="A313" t="s">
        <v>594</v>
      </c>
      <c r="B313" t="s">
        <v>435</v>
      </c>
      <c r="C313">
        <v>29</v>
      </c>
      <c r="D313" t="s">
        <v>31</v>
      </c>
      <c r="E313" t="s">
        <v>21</v>
      </c>
      <c r="F313" t="s">
        <v>55</v>
      </c>
      <c r="G313" t="s">
        <v>23</v>
      </c>
      <c r="H313" s="2">
        <v>46207</v>
      </c>
      <c r="I313" s="2" t="str">
        <f>IFERROR(VLOOKUP(HR_Employees[[#This Row],[Employee_ID]],'[1]Synthetic Exit Data'!$A$2:$E$235,4,0)," NA")</f>
        <v>2026-09-14</v>
      </c>
      <c r="J313" t="s">
        <v>49</v>
      </c>
      <c r="K313">
        <v>2</v>
      </c>
      <c r="L313" s="3">
        <v>146408</v>
      </c>
      <c r="M313" t="s">
        <v>25</v>
      </c>
      <c r="N313" t="s">
        <v>43</v>
      </c>
      <c r="O313">
        <v>0.08</v>
      </c>
      <c r="P313" t="s">
        <v>35</v>
      </c>
      <c r="Q313" t="s">
        <v>62</v>
      </c>
      <c r="R313">
        <v>2026</v>
      </c>
      <c r="S313">
        <f>IF(AND(HR_Employees[[#This Row],[Attrition]]="YES",HR_Employees[[#This Row],[Exit_Date]]&lt;&gt;""),YEAR(HR_Employees[[#This Row],[Exit_Date]]),"")</f>
        <v>2026</v>
      </c>
    </row>
    <row r="314" spans="1:19">
      <c r="A314" t="s">
        <v>595</v>
      </c>
      <c r="B314" t="s">
        <v>124</v>
      </c>
      <c r="C314">
        <v>28</v>
      </c>
      <c r="D314" t="s">
        <v>31</v>
      </c>
      <c r="E314" t="s">
        <v>21</v>
      </c>
      <c r="F314" t="s">
        <v>65</v>
      </c>
      <c r="G314" t="s">
        <v>33</v>
      </c>
      <c r="H314" s="2">
        <v>42260</v>
      </c>
      <c r="I314" s="2" t="str">
        <f>IFERROR(VLOOKUP(HR_Employees[[#This Row],[Employee_ID]],'[1]Synthetic Exit Data'!$A$2:$E$235,4,0)," NA")</f>
        <v xml:space="preserve"> NA</v>
      </c>
      <c r="J314" t="s">
        <v>24</v>
      </c>
      <c r="K314">
        <v>3</v>
      </c>
      <c r="L314" s="3">
        <v>50541</v>
      </c>
      <c r="M314" t="s">
        <v>34</v>
      </c>
      <c r="N314" t="s">
        <v>26</v>
      </c>
      <c r="O314">
        <v>11.08</v>
      </c>
      <c r="P314" t="s">
        <v>83</v>
      </c>
      <c r="Q314" t="s">
        <v>76</v>
      </c>
      <c r="R314">
        <v>2015</v>
      </c>
      <c r="S314" t="str">
        <f>IF(AND(HR_Employees[[#This Row],[Attrition]]="YES",HR_Employees[[#This Row],[Exit_Date]]&lt;&gt;""),YEAR(HR_Employees[[#This Row],[Exit_Date]]),"")</f>
        <v/>
      </c>
    </row>
    <row r="315" spans="1:19">
      <c r="A315" t="s">
        <v>596</v>
      </c>
      <c r="B315" t="s">
        <v>597</v>
      </c>
      <c r="C315">
        <v>47</v>
      </c>
      <c r="D315" t="s">
        <v>20</v>
      </c>
      <c r="E315" t="s">
        <v>21</v>
      </c>
      <c r="F315" t="s">
        <v>47</v>
      </c>
      <c r="G315" t="s">
        <v>33</v>
      </c>
      <c r="H315" s="2">
        <v>45639</v>
      </c>
      <c r="I315" s="2" t="str">
        <f>IFERROR(VLOOKUP(HR_Employees[[#This Row],[Employee_ID]],'[1]Synthetic Exit Data'!$A$2:$E$235,4,0)," NA")</f>
        <v xml:space="preserve"> NA</v>
      </c>
      <c r="J315" t="s">
        <v>24</v>
      </c>
      <c r="K315">
        <v>3</v>
      </c>
      <c r="L315" s="3">
        <v>77465</v>
      </c>
      <c r="M315" t="s">
        <v>66</v>
      </c>
      <c r="N315" t="s">
        <v>56</v>
      </c>
      <c r="O315">
        <v>1.83</v>
      </c>
      <c r="P315" t="s">
        <v>57</v>
      </c>
      <c r="Q315" t="s">
        <v>58</v>
      </c>
      <c r="R315">
        <v>2024</v>
      </c>
      <c r="S315" t="str">
        <f>IF(AND(HR_Employees[[#This Row],[Attrition]]="YES",HR_Employees[[#This Row],[Exit_Date]]&lt;&gt;""),YEAR(HR_Employees[[#This Row],[Exit_Date]]),"")</f>
        <v/>
      </c>
    </row>
    <row r="316" spans="1:19">
      <c r="A316" t="s">
        <v>598</v>
      </c>
      <c r="B316" t="s">
        <v>78</v>
      </c>
      <c r="C316">
        <v>58</v>
      </c>
      <c r="D316" t="s">
        <v>54</v>
      </c>
      <c r="E316" t="s">
        <v>32</v>
      </c>
      <c r="F316" t="s">
        <v>55</v>
      </c>
      <c r="G316" t="s">
        <v>23</v>
      </c>
      <c r="H316" s="2">
        <v>45090</v>
      </c>
      <c r="I316" s="2" t="str">
        <f>IFERROR(VLOOKUP(HR_Employees[[#This Row],[Employee_ID]],'[1]Synthetic Exit Data'!$A$2:$E$235,4,0)," NA")</f>
        <v xml:space="preserve"> NA</v>
      </c>
      <c r="J316" t="s">
        <v>24</v>
      </c>
      <c r="K316">
        <v>4</v>
      </c>
      <c r="L316" s="3">
        <v>36634</v>
      </c>
      <c r="M316" t="s">
        <v>42</v>
      </c>
      <c r="N316" t="s">
        <v>50</v>
      </c>
      <c r="O316">
        <v>3.33</v>
      </c>
      <c r="P316" t="s">
        <v>35</v>
      </c>
      <c r="Q316" t="s">
        <v>92</v>
      </c>
      <c r="R316">
        <v>2023</v>
      </c>
      <c r="S316" t="str">
        <f>IF(AND(HR_Employees[[#This Row],[Attrition]]="YES",HR_Employees[[#This Row],[Exit_Date]]&lt;&gt;""),YEAR(HR_Employees[[#This Row],[Exit_Date]]),"")</f>
        <v/>
      </c>
    </row>
    <row r="317" spans="1:19">
      <c r="A317" t="s">
        <v>599</v>
      </c>
      <c r="B317" t="s">
        <v>600</v>
      </c>
      <c r="C317">
        <v>48</v>
      </c>
      <c r="D317" t="s">
        <v>20</v>
      </c>
      <c r="E317" t="s">
        <v>21</v>
      </c>
      <c r="F317" t="s">
        <v>22</v>
      </c>
      <c r="G317" t="s">
        <v>23</v>
      </c>
      <c r="H317" s="2">
        <v>44513</v>
      </c>
      <c r="I317" s="2" t="str">
        <f>IFERROR(VLOOKUP(HR_Employees[[#This Row],[Employee_ID]],'[1]Synthetic Exit Data'!$A$2:$E$235,4,0)," NA")</f>
        <v xml:space="preserve"> NA</v>
      </c>
      <c r="J317" t="s">
        <v>24</v>
      </c>
      <c r="K317">
        <v>4</v>
      </c>
      <c r="L317" s="3">
        <v>78301</v>
      </c>
      <c r="M317" t="s">
        <v>66</v>
      </c>
      <c r="N317" t="s">
        <v>50</v>
      </c>
      <c r="O317">
        <v>4.92</v>
      </c>
      <c r="P317" t="s">
        <v>125</v>
      </c>
      <c r="Q317" t="s">
        <v>62</v>
      </c>
      <c r="R317">
        <v>2021</v>
      </c>
      <c r="S317" t="str">
        <f>IF(AND(HR_Employees[[#This Row],[Attrition]]="YES",HR_Employees[[#This Row],[Exit_Date]]&lt;&gt;""),YEAR(HR_Employees[[#This Row],[Exit_Date]]),"")</f>
        <v/>
      </c>
    </row>
    <row r="318" spans="1:19">
      <c r="A318" t="s">
        <v>601</v>
      </c>
      <c r="B318" t="s">
        <v>158</v>
      </c>
      <c r="C318">
        <v>40</v>
      </c>
      <c r="D318" t="s">
        <v>61</v>
      </c>
      <c r="E318" t="s">
        <v>21</v>
      </c>
      <c r="F318" t="s">
        <v>109</v>
      </c>
      <c r="G318" t="s">
        <v>114</v>
      </c>
      <c r="H318" s="2">
        <v>45090</v>
      </c>
      <c r="I318" s="2" t="str">
        <f>IFERROR(VLOOKUP(HR_Employees[[#This Row],[Employee_ID]],'[1]Synthetic Exit Data'!$A$2:$E$235,4,0)," NA")</f>
        <v xml:space="preserve"> NA</v>
      </c>
      <c r="J318" t="s">
        <v>24</v>
      </c>
      <c r="K318">
        <v>3</v>
      </c>
      <c r="L318" s="3">
        <v>28025</v>
      </c>
      <c r="M318" t="s">
        <v>82</v>
      </c>
      <c r="N318" t="s">
        <v>50</v>
      </c>
      <c r="O318">
        <v>3.33</v>
      </c>
      <c r="P318" t="s">
        <v>51</v>
      </c>
      <c r="Q318" t="s">
        <v>58</v>
      </c>
      <c r="R318">
        <v>2023</v>
      </c>
      <c r="S318" t="str">
        <f>IF(AND(HR_Employees[[#This Row],[Attrition]]="YES",HR_Employees[[#This Row],[Exit_Date]]&lt;&gt;""),YEAR(HR_Employees[[#This Row],[Exit_Date]]),"")</f>
        <v/>
      </c>
    </row>
    <row r="319" spans="1:19">
      <c r="A319" t="s">
        <v>602</v>
      </c>
      <c r="B319" t="s">
        <v>603</v>
      </c>
      <c r="C319">
        <v>25</v>
      </c>
      <c r="D319" t="s">
        <v>39</v>
      </c>
      <c r="E319" t="s">
        <v>32</v>
      </c>
      <c r="F319" t="s">
        <v>40</v>
      </c>
      <c r="G319" t="s">
        <v>48</v>
      </c>
      <c r="H319" s="2">
        <v>45059</v>
      </c>
      <c r="I319" s="2" t="str">
        <f>IFERROR(VLOOKUP(HR_Employees[[#This Row],[Employee_ID]],'[1]Synthetic Exit Data'!$A$2:$E$235,4,0)," NA")</f>
        <v xml:space="preserve"> NA</v>
      </c>
      <c r="J319" t="s">
        <v>24</v>
      </c>
      <c r="K319">
        <v>3</v>
      </c>
      <c r="L319" s="3">
        <v>174403</v>
      </c>
      <c r="M319" t="s">
        <v>25</v>
      </c>
      <c r="N319" t="s">
        <v>50</v>
      </c>
      <c r="O319">
        <v>3.42</v>
      </c>
      <c r="P319" t="s">
        <v>51</v>
      </c>
      <c r="Q319" t="s">
        <v>58</v>
      </c>
      <c r="R319">
        <v>2023</v>
      </c>
      <c r="S319" t="str">
        <f>IF(AND(HR_Employees[[#This Row],[Attrition]]="YES",HR_Employees[[#This Row],[Exit_Date]]&lt;&gt;""),YEAR(HR_Employees[[#This Row],[Exit_Date]]),"")</f>
        <v/>
      </c>
    </row>
    <row r="320" spans="1:19">
      <c r="A320" t="s">
        <v>604</v>
      </c>
      <c r="B320" t="s">
        <v>538</v>
      </c>
      <c r="C320">
        <v>34</v>
      </c>
      <c r="D320" t="s">
        <v>31</v>
      </c>
      <c r="E320" t="s">
        <v>32</v>
      </c>
      <c r="F320" t="s">
        <v>22</v>
      </c>
      <c r="G320" t="s">
        <v>23</v>
      </c>
      <c r="H320" s="2">
        <v>46125</v>
      </c>
      <c r="I320" s="2" t="str">
        <f>IFERROR(VLOOKUP(HR_Employees[[#This Row],[Employee_ID]],'[1]Synthetic Exit Data'!$A$2:$E$235,4,0)," NA")</f>
        <v xml:space="preserve"> NA</v>
      </c>
      <c r="J320" t="s">
        <v>24</v>
      </c>
      <c r="K320">
        <v>3</v>
      </c>
      <c r="L320" s="3">
        <v>38226</v>
      </c>
      <c r="M320" t="s">
        <v>42</v>
      </c>
      <c r="N320" t="s">
        <v>43</v>
      </c>
      <c r="O320">
        <v>0.5</v>
      </c>
      <c r="P320" t="s">
        <v>27</v>
      </c>
      <c r="Q320" t="s">
        <v>86</v>
      </c>
      <c r="R320">
        <v>2026</v>
      </c>
      <c r="S320" t="str">
        <f>IF(AND(HR_Employees[[#This Row],[Attrition]]="YES",HR_Employees[[#This Row],[Exit_Date]]&lt;&gt;""),YEAR(HR_Employees[[#This Row],[Exit_Date]]),"")</f>
        <v/>
      </c>
    </row>
    <row r="321" spans="1:19">
      <c r="A321" t="s">
        <v>605</v>
      </c>
      <c r="B321" t="s">
        <v>118</v>
      </c>
      <c r="C321">
        <v>24</v>
      </c>
      <c r="D321" t="s">
        <v>39</v>
      </c>
      <c r="E321" t="s">
        <v>32</v>
      </c>
      <c r="F321" t="s">
        <v>47</v>
      </c>
      <c r="G321" t="s">
        <v>23</v>
      </c>
      <c r="H321" s="2">
        <v>45273</v>
      </c>
      <c r="I321" s="2" t="str">
        <f>IFERROR(VLOOKUP(HR_Employees[[#This Row],[Employee_ID]],'[1]Synthetic Exit Data'!$A$2:$E$235,4,0)," NA")</f>
        <v xml:space="preserve"> NA</v>
      </c>
      <c r="J321" t="s">
        <v>24</v>
      </c>
      <c r="K321">
        <v>3</v>
      </c>
      <c r="L321" s="3">
        <v>138611</v>
      </c>
      <c r="M321" t="s">
        <v>25</v>
      </c>
      <c r="N321" t="s">
        <v>56</v>
      </c>
      <c r="O321">
        <v>2.83</v>
      </c>
      <c r="P321" t="s">
        <v>27</v>
      </c>
      <c r="Q321" t="s">
        <v>86</v>
      </c>
      <c r="R321">
        <v>2023</v>
      </c>
      <c r="S321" t="str">
        <f>IF(AND(HR_Employees[[#This Row],[Attrition]]="YES",HR_Employees[[#This Row],[Exit_Date]]&lt;&gt;""),YEAR(HR_Employees[[#This Row],[Exit_Date]]),"")</f>
        <v/>
      </c>
    </row>
    <row r="322" spans="1:19">
      <c r="A322" t="s">
        <v>606</v>
      </c>
      <c r="B322" t="s">
        <v>569</v>
      </c>
      <c r="C322">
        <v>54</v>
      </c>
      <c r="D322" t="s">
        <v>20</v>
      </c>
      <c r="E322" t="s">
        <v>21</v>
      </c>
      <c r="F322" t="s">
        <v>22</v>
      </c>
      <c r="G322" t="s">
        <v>23</v>
      </c>
      <c r="H322" s="2">
        <v>44633</v>
      </c>
      <c r="I322" s="2" t="str">
        <f>IFERROR(VLOOKUP(HR_Employees[[#This Row],[Employee_ID]],'[1]Synthetic Exit Data'!$A$2:$E$235,4,0)," NA")</f>
        <v xml:space="preserve"> NA</v>
      </c>
      <c r="J322" t="s">
        <v>24</v>
      </c>
      <c r="K322">
        <v>1</v>
      </c>
      <c r="L322" s="3">
        <v>60098</v>
      </c>
      <c r="M322" t="s">
        <v>34</v>
      </c>
      <c r="N322" t="s">
        <v>50</v>
      </c>
      <c r="O322">
        <v>4.58</v>
      </c>
      <c r="P322" t="s">
        <v>35</v>
      </c>
      <c r="Q322" t="s">
        <v>62</v>
      </c>
      <c r="R322">
        <v>2022</v>
      </c>
      <c r="S322" t="str">
        <f>IF(AND(HR_Employees[[#This Row],[Attrition]]="YES",HR_Employees[[#This Row],[Exit_Date]]&lt;&gt;""),YEAR(HR_Employees[[#This Row],[Exit_Date]]),"")</f>
        <v/>
      </c>
    </row>
    <row r="323" spans="1:19">
      <c r="A323" t="s">
        <v>607</v>
      </c>
      <c r="B323" t="s">
        <v>395</v>
      </c>
      <c r="C323">
        <v>28</v>
      </c>
      <c r="D323" t="s">
        <v>31</v>
      </c>
      <c r="E323" t="s">
        <v>21</v>
      </c>
      <c r="F323" t="s">
        <v>47</v>
      </c>
      <c r="G323" t="s">
        <v>23</v>
      </c>
      <c r="H323" s="2">
        <v>45182</v>
      </c>
      <c r="I323" s="2" t="str">
        <f>IFERROR(VLOOKUP(HR_Employees[[#This Row],[Employee_ID]],'[1]Synthetic Exit Data'!$A$2:$E$235,4,0)," NA")</f>
        <v xml:space="preserve"> NA</v>
      </c>
      <c r="J323" t="s">
        <v>24</v>
      </c>
      <c r="K323">
        <v>5</v>
      </c>
      <c r="L323" s="3">
        <v>111827</v>
      </c>
      <c r="M323" t="s">
        <v>25</v>
      </c>
      <c r="N323" t="s">
        <v>50</v>
      </c>
      <c r="O323">
        <v>3.08</v>
      </c>
      <c r="P323" t="s">
        <v>51</v>
      </c>
      <c r="Q323" t="s">
        <v>62</v>
      </c>
      <c r="R323">
        <v>2023</v>
      </c>
      <c r="S323" t="str">
        <f>IF(AND(HR_Employees[[#This Row],[Attrition]]="YES",HR_Employees[[#This Row],[Exit_Date]]&lt;&gt;""),YEAR(HR_Employees[[#This Row],[Exit_Date]]),"")</f>
        <v/>
      </c>
    </row>
    <row r="324" spans="1:19">
      <c r="A324" t="s">
        <v>608</v>
      </c>
      <c r="B324" t="s">
        <v>389</v>
      </c>
      <c r="C324">
        <v>37</v>
      </c>
      <c r="D324" t="s">
        <v>61</v>
      </c>
      <c r="E324" t="s">
        <v>32</v>
      </c>
      <c r="F324" t="s">
        <v>47</v>
      </c>
      <c r="G324" t="s">
        <v>33</v>
      </c>
      <c r="H324" s="2">
        <v>43964</v>
      </c>
      <c r="I324" s="2" t="str">
        <f>IFERROR(VLOOKUP(HR_Employees[[#This Row],[Employee_ID]],'[1]Synthetic Exit Data'!$A$2:$E$235,4,0)," NA")</f>
        <v xml:space="preserve"> NA</v>
      </c>
      <c r="J324" t="s">
        <v>24</v>
      </c>
      <c r="K324">
        <v>4</v>
      </c>
      <c r="L324" s="3">
        <v>42083</v>
      </c>
      <c r="M324" t="s">
        <v>42</v>
      </c>
      <c r="N324" t="s">
        <v>79</v>
      </c>
      <c r="O324">
        <v>6.42</v>
      </c>
      <c r="P324" t="s">
        <v>51</v>
      </c>
      <c r="Q324" t="s">
        <v>28</v>
      </c>
      <c r="R324">
        <v>2020</v>
      </c>
      <c r="S324" t="str">
        <f>IF(AND(HR_Employees[[#This Row],[Attrition]]="YES",HR_Employees[[#This Row],[Exit_Date]]&lt;&gt;""),YEAR(HR_Employees[[#This Row],[Exit_Date]]),"")</f>
        <v/>
      </c>
    </row>
    <row r="325" spans="1:19">
      <c r="A325" t="s">
        <v>609</v>
      </c>
      <c r="B325" t="s">
        <v>226</v>
      </c>
      <c r="C325">
        <v>34</v>
      </c>
      <c r="D325" t="s">
        <v>31</v>
      </c>
      <c r="E325" t="s">
        <v>21</v>
      </c>
      <c r="F325" t="s">
        <v>47</v>
      </c>
      <c r="G325" t="s">
        <v>33</v>
      </c>
      <c r="H325" s="2">
        <v>45495</v>
      </c>
      <c r="I325" s="2" t="str">
        <f>IFERROR(VLOOKUP(HR_Employees[[#This Row],[Employee_ID]],'[1]Synthetic Exit Data'!$A$2:$E$235,4,0)," NA")</f>
        <v>2024-07-29</v>
      </c>
      <c r="J325" t="s">
        <v>49</v>
      </c>
      <c r="K325">
        <v>4</v>
      </c>
      <c r="L325" s="3">
        <v>32016</v>
      </c>
      <c r="M325" t="s">
        <v>42</v>
      </c>
      <c r="N325" t="s">
        <v>56</v>
      </c>
      <c r="O325">
        <v>2.08</v>
      </c>
      <c r="P325" t="s">
        <v>83</v>
      </c>
      <c r="Q325" t="s">
        <v>62</v>
      </c>
      <c r="R325">
        <v>2024</v>
      </c>
      <c r="S325">
        <f>IF(AND(HR_Employees[[#This Row],[Attrition]]="YES",HR_Employees[[#This Row],[Exit_Date]]&lt;&gt;""),YEAR(HR_Employees[[#This Row],[Exit_Date]]),"")</f>
        <v>2024</v>
      </c>
    </row>
    <row r="326" spans="1:19">
      <c r="A326" t="s">
        <v>610</v>
      </c>
      <c r="B326" t="s">
        <v>611</v>
      </c>
      <c r="C326">
        <v>46</v>
      </c>
      <c r="D326" t="s">
        <v>20</v>
      </c>
      <c r="E326" t="s">
        <v>21</v>
      </c>
      <c r="F326" t="s">
        <v>47</v>
      </c>
      <c r="G326" t="s">
        <v>33</v>
      </c>
      <c r="H326" s="2">
        <v>46278</v>
      </c>
      <c r="I326" s="2" t="str">
        <f>IFERROR(VLOOKUP(HR_Employees[[#This Row],[Employee_ID]],'[1]Synthetic Exit Data'!$A$2:$E$235,4,0)," NA")</f>
        <v xml:space="preserve"> NA</v>
      </c>
      <c r="J326" t="s">
        <v>24</v>
      </c>
      <c r="K326">
        <v>4</v>
      </c>
      <c r="L326" s="3">
        <v>21011</v>
      </c>
      <c r="M326" t="s">
        <v>82</v>
      </c>
      <c r="N326" t="s">
        <v>43</v>
      </c>
      <c r="O326">
        <v>0.08</v>
      </c>
      <c r="P326" t="s">
        <v>35</v>
      </c>
      <c r="Q326" t="s">
        <v>28</v>
      </c>
      <c r="R326">
        <v>2026</v>
      </c>
      <c r="S326" t="str">
        <f>IF(AND(HR_Employees[[#This Row],[Attrition]]="YES",HR_Employees[[#This Row],[Exit_Date]]&lt;&gt;""),YEAR(HR_Employees[[#This Row],[Exit_Date]]),"")</f>
        <v/>
      </c>
    </row>
    <row r="327" spans="1:19">
      <c r="A327" t="s">
        <v>612</v>
      </c>
      <c r="B327" t="s">
        <v>576</v>
      </c>
      <c r="C327">
        <v>38</v>
      </c>
      <c r="D327" t="s">
        <v>61</v>
      </c>
      <c r="E327" t="s">
        <v>21</v>
      </c>
      <c r="F327" t="s">
        <v>40</v>
      </c>
      <c r="G327" t="s">
        <v>114</v>
      </c>
      <c r="H327" s="2">
        <v>45212</v>
      </c>
      <c r="I327" s="2" t="str">
        <f>IFERROR(VLOOKUP(HR_Employees[[#This Row],[Employee_ID]],'[1]Synthetic Exit Data'!$A$2:$E$235,4,0)," NA")</f>
        <v xml:space="preserve"> NA</v>
      </c>
      <c r="J327" t="s">
        <v>24</v>
      </c>
      <c r="K327">
        <v>4</v>
      </c>
      <c r="L327" s="3">
        <v>90785</v>
      </c>
      <c r="M327" t="s">
        <v>66</v>
      </c>
      <c r="N327" t="s">
        <v>56</v>
      </c>
      <c r="O327">
        <v>3</v>
      </c>
      <c r="P327" t="s">
        <v>27</v>
      </c>
      <c r="Q327" t="s">
        <v>58</v>
      </c>
      <c r="R327">
        <v>2023</v>
      </c>
      <c r="S327" t="str">
        <f>IF(AND(HR_Employees[[#This Row],[Attrition]]="YES",HR_Employees[[#This Row],[Exit_Date]]&lt;&gt;""),YEAR(HR_Employees[[#This Row],[Exit_Date]]),"")</f>
        <v/>
      </c>
    </row>
    <row r="328" spans="1:19">
      <c r="A328" t="s">
        <v>613</v>
      </c>
      <c r="B328" t="s">
        <v>614</v>
      </c>
      <c r="C328">
        <v>29</v>
      </c>
      <c r="D328" t="s">
        <v>31</v>
      </c>
      <c r="E328" t="s">
        <v>32</v>
      </c>
      <c r="F328" t="s">
        <v>109</v>
      </c>
      <c r="G328" t="s">
        <v>33</v>
      </c>
      <c r="H328" s="2">
        <v>46094</v>
      </c>
      <c r="I328" s="2" t="str">
        <f>IFERROR(VLOOKUP(HR_Employees[[#This Row],[Employee_ID]],'[1]Synthetic Exit Data'!$A$2:$E$235,4,0)," NA")</f>
        <v xml:space="preserve"> NA</v>
      </c>
      <c r="J328" t="s">
        <v>24</v>
      </c>
      <c r="K328">
        <v>4</v>
      </c>
      <c r="L328" s="3">
        <v>48108</v>
      </c>
      <c r="M328" t="s">
        <v>42</v>
      </c>
      <c r="N328" t="s">
        <v>43</v>
      </c>
      <c r="O328">
        <v>0.57999999999999996</v>
      </c>
      <c r="P328" t="s">
        <v>27</v>
      </c>
      <c r="Q328" t="s">
        <v>28</v>
      </c>
      <c r="R328">
        <v>2026</v>
      </c>
      <c r="S328" t="str">
        <f>IF(AND(HR_Employees[[#This Row],[Attrition]]="YES",HR_Employees[[#This Row],[Exit_Date]]&lt;&gt;""),YEAR(HR_Employees[[#This Row],[Exit_Date]]),"")</f>
        <v/>
      </c>
    </row>
    <row r="329" spans="1:19">
      <c r="A329" t="s">
        <v>615</v>
      </c>
      <c r="B329" t="s">
        <v>616</v>
      </c>
      <c r="C329">
        <v>38</v>
      </c>
      <c r="D329" t="s">
        <v>61</v>
      </c>
      <c r="E329" t="s">
        <v>32</v>
      </c>
      <c r="F329" t="s">
        <v>47</v>
      </c>
      <c r="G329" t="s">
        <v>114</v>
      </c>
      <c r="H329" s="2">
        <v>44847</v>
      </c>
      <c r="I329" s="2" t="str">
        <f>IFERROR(VLOOKUP(HR_Employees[[#This Row],[Employee_ID]],'[1]Synthetic Exit Data'!$A$2:$E$235,4,0)," NA")</f>
        <v xml:space="preserve"> NA</v>
      </c>
      <c r="J329" t="s">
        <v>24</v>
      </c>
      <c r="K329">
        <v>2</v>
      </c>
      <c r="L329" s="3">
        <v>159532</v>
      </c>
      <c r="M329" t="s">
        <v>25</v>
      </c>
      <c r="N329" t="s">
        <v>50</v>
      </c>
      <c r="O329">
        <v>4</v>
      </c>
      <c r="P329" t="s">
        <v>27</v>
      </c>
      <c r="Q329" t="s">
        <v>44</v>
      </c>
      <c r="R329">
        <v>2022</v>
      </c>
      <c r="S329" t="str">
        <f>IF(AND(HR_Employees[[#This Row],[Attrition]]="YES",HR_Employees[[#This Row],[Exit_Date]]&lt;&gt;""),YEAR(HR_Employees[[#This Row],[Exit_Date]]),"")</f>
        <v/>
      </c>
    </row>
    <row r="330" spans="1:19">
      <c r="A330" t="s">
        <v>617</v>
      </c>
      <c r="B330" t="s">
        <v>302</v>
      </c>
      <c r="C330">
        <v>42</v>
      </c>
      <c r="D330" t="s">
        <v>61</v>
      </c>
      <c r="E330" t="s">
        <v>32</v>
      </c>
      <c r="F330" t="s">
        <v>55</v>
      </c>
      <c r="G330" t="s">
        <v>33</v>
      </c>
      <c r="H330" s="2">
        <v>44329</v>
      </c>
      <c r="I330" s="2" t="str">
        <f>IFERROR(VLOOKUP(HR_Employees[[#This Row],[Employee_ID]],'[1]Synthetic Exit Data'!$A$2:$E$235,4,0)," NA")</f>
        <v xml:space="preserve"> NA</v>
      </c>
      <c r="J330" t="s">
        <v>24</v>
      </c>
      <c r="K330">
        <v>2</v>
      </c>
      <c r="L330" s="3">
        <v>55222</v>
      </c>
      <c r="M330" t="s">
        <v>34</v>
      </c>
      <c r="N330" t="s">
        <v>79</v>
      </c>
      <c r="O330">
        <v>5.42</v>
      </c>
      <c r="P330" t="s">
        <v>57</v>
      </c>
      <c r="Q330" t="s">
        <v>44</v>
      </c>
      <c r="R330">
        <v>2021</v>
      </c>
      <c r="S330" t="str">
        <f>IF(AND(HR_Employees[[#This Row],[Attrition]]="YES",HR_Employees[[#This Row],[Exit_Date]]&lt;&gt;""),YEAR(HR_Employees[[#This Row],[Exit_Date]]),"")</f>
        <v/>
      </c>
    </row>
    <row r="331" spans="1:19">
      <c r="A331" t="s">
        <v>618</v>
      </c>
      <c r="B331" t="s">
        <v>619</v>
      </c>
      <c r="C331">
        <v>23</v>
      </c>
      <c r="D331" t="s">
        <v>39</v>
      </c>
      <c r="E331" t="s">
        <v>32</v>
      </c>
      <c r="F331" t="s">
        <v>55</v>
      </c>
      <c r="G331" t="s">
        <v>33</v>
      </c>
      <c r="H331" s="2">
        <v>44878</v>
      </c>
      <c r="I331" s="2" t="str">
        <f>IFERROR(VLOOKUP(HR_Employees[[#This Row],[Employee_ID]],'[1]Synthetic Exit Data'!$A$2:$E$235,4,0)," NA")</f>
        <v xml:space="preserve"> NA</v>
      </c>
      <c r="J331" t="s">
        <v>24</v>
      </c>
      <c r="K331">
        <v>3</v>
      </c>
      <c r="L331" s="3">
        <v>37603</v>
      </c>
      <c r="M331" t="s">
        <v>42</v>
      </c>
      <c r="N331" t="s">
        <v>50</v>
      </c>
      <c r="O331">
        <v>3.92</v>
      </c>
      <c r="P331" t="s">
        <v>51</v>
      </c>
      <c r="Q331" t="s">
        <v>76</v>
      </c>
      <c r="R331">
        <v>2022</v>
      </c>
      <c r="S331" t="str">
        <f>IF(AND(HR_Employees[[#This Row],[Attrition]]="YES",HR_Employees[[#This Row],[Exit_Date]]&lt;&gt;""),YEAR(HR_Employees[[#This Row],[Exit_Date]]),"")</f>
        <v/>
      </c>
    </row>
    <row r="332" spans="1:19">
      <c r="A332" t="s">
        <v>620</v>
      </c>
      <c r="B332" t="s">
        <v>377</v>
      </c>
      <c r="C332">
        <v>24</v>
      </c>
      <c r="D332" t="s">
        <v>39</v>
      </c>
      <c r="E332" t="s">
        <v>21</v>
      </c>
      <c r="F332" t="s">
        <v>40</v>
      </c>
      <c r="G332" t="s">
        <v>33</v>
      </c>
      <c r="H332" s="2">
        <v>43812</v>
      </c>
      <c r="I332" s="2" t="str">
        <f>IFERROR(VLOOKUP(HR_Employees[[#This Row],[Employee_ID]],'[1]Synthetic Exit Data'!$A$2:$E$235,4,0)," NA")</f>
        <v xml:space="preserve"> NA</v>
      </c>
      <c r="J332" t="s">
        <v>24</v>
      </c>
      <c r="K332">
        <v>3</v>
      </c>
      <c r="L332" s="3">
        <v>49238</v>
      </c>
      <c r="M332" t="s">
        <v>42</v>
      </c>
      <c r="N332" t="s">
        <v>79</v>
      </c>
      <c r="O332">
        <v>6.83</v>
      </c>
      <c r="P332" t="s">
        <v>27</v>
      </c>
      <c r="Q332" t="s">
        <v>28</v>
      </c>
      <c r="R332">
        <v>2019</v>
      </c>
      <c r="S332" t="str">
        <f>IF(AND(HR_Employees[[#This Row],[Attrition]]="YES",HR_Employees[[#This Row],[Exit_Date]]&lt;&gt;""),YEAR(HR_Employees[[#This Row],[Exit_Date]]),"")</f>
        <v/>
      </c>
    </row>
    <row r="333" spans="1:19">
      <c r="A333" t="s">
        <v>621</v>
      </c>
      <c r="B333" t="s">
        <v>622</v>
      </c>
      <c r="C333">
        <v>40</v>
      </c>
      <c r="D333" t="s">
        <v>61</v>
      </c>
      <c r="E333" t="s">
        <v>21</v>
      </c>
      <c r="F333" t="s">
        <v>55</v>
      </c>
      <c r="G333" t="s">
        <v>23</v>
      </c>
      <c r="H333" s="2">
        <v>45212</v>
      </c>
      <c r="I333" s="2" t="str">
        <f>IFERROR(VLOOKUP(HR_Employees[[#This Row],[Employee_ID]],'[1]Synthetic Exit Data'!$A$2:$E$235,4,0)," NA")</f>
        <v xml:space="preserve"> NA</v>
      </c>
      <c r="J333" t="s">
        <v>24</v>
      </c>
      <c r="K333">
        <v>3</v>
      </c>
      <c r="L333" s="3">
        <v>86706</v>
      </c>
      <c r="M333" t="s">
        <v>66</v>
      </c>
      <c r="N333" t="s">
        <v>56</v>
      </c>
      <c r="O333">
        <v>3</v>
      </c>
      <c r="P333" t="s">
        <v>27</v>
      </c>
      <c r="Q333" t="s">
        <v>36</v>
      </c>
      <c r="R333">
        <v>2023</v>
      </c>
      <c r="S333" t="str">
        <f>IF(AND(HR_Employees[[#This Row],[Attrition]]="YES",HR_Employees[[#This Row],[Exit_Date]]&lt;&gt;""),YEAR(HR_Employees[[#This Row],[Exit_Date]]),"")</f>
        <v/>
      </c>
    </row>
    <row r="334" spans="1:19">
      <c r="A334" t="s">
        <v>623</v>
      </c>
      <c r="B334" t="s">
        <v>624</v>
      </c>
      <c r="C334">
        <v>43</v>
      </c>
      <c r="D334" t="s">
        <v>61</v>
      </c>
      <c r="E334" t="s">
        <v>32</v>
      </c>
      <c r="F334" t="s">
        <v>47</v>
      </c>
      <c r="G334" t="s">
        <v>23</v>
      </c>
      <c r="H334" s="2">
        <v>42048</v>
      </c>
      <c r="I334" s="2" t="str">
        <f>IFERROR(VLOOKUP(HR_Employees[[#This Row],[Employee_ID]],'[1]Synthetic Exit Data'!$A$2:$E$235,4,0)," NA")</f>
        <v xml:space="preserve"> NA</v>
      </c>
      <c r="J334" t="s">
        <v>24</v>
      </c>
      <c r="K334">
        <v>3</v>
      </c>
      <c r="L334" s="3">
        <v>54079</v>
      </c>
      <c r="M334" t="s">
        <v>34</v>
      </c>
      <c r="N334" t="s">
        <v>26</v>
      </c>
      <c r="O334">
        <v>11.67</v>
      </c>
      <c r="P334" t="s">
        <v>57</v>
      </c>
      <c r="Q334" t="s">
        <v>92</v>
      </c>
      <c r="R334">
        <v>2015</v>
      </c>
      <c r="S334" t="str">
        <f>IF(AND(HR_Employees[[#This Row],[Attrition]]="YES",HR_Employees[[#This Row],[Exit_Date]]&lt;&gt;""),YEAR(HR_Employees[[#This Row],[Exit_Date]]),"")</f>
        <v/>
      </c>
    </row>
    <row r="335" spans="1:19">
      <c r="A335" t="s">
        <v>625</v>
      </c>
      <c r="B335" t="s">
        <v>146</v>
      </c>
      <c r="C335">
        <v>31</v>
      </c>
      <c r="D335" t="s">
        <v>31</v>
      </c>
      <c r="E335" t="s">
        <v>32</v>
      </c>
      <c r="F335" t="s">
        <v>109</v>
      </c>
      <c r="G335" t="s">
        <v>23</v>
      </c>
      <c r="H335" s="2">
        <v>45578</v>
      </c>
      <c r="I335" s="2" t="str">
        <f>IFERROR(VLOOKUP(HR_Employees[[#This Row],[Employee_ID]],'[1]Synthetic Exit Data'!$A$2:$E$235,4,0)," NA")</f>
        <v xml:space="preserve"> NA</v>
      </c>
      <c r="J335" t="s">
        <v>24</v>
      </c>
      <c r="K335">
        <v>2</v>
      </c>
      <c r="L335" s="3">
        <v>25476</v>
      </c>
      <c r="M335" t="s">
        <v>82</v>
      </c>
      <c r="N335" t="s">
        <v>56</v>
      </c>
      <c r="O335">
        <v>2</v>
      </c>
      <c r="P335" t="s">
        <v>125</v>
      </c>
      <c r="Q335" t="s">
        <v>58</v>
      </c>
      <c r="R335">
        <v>2024</v>
      </c>
      <c r="S335" t="str">
        <f>IF(AND(HR_Employees[[#This Row],[Attrition]]="YES",HR_Employees[[#This Row],[Exit_Date]]&lt;&gt;""),YEAR(HR_Employees[[#This Row],[Exit_Date]]),"")</f>
        <v/>
      </c>
    </row>
    <row r="336" spans="1:19">
      <c r="A336" t="s">
        <v>626</v>
      </c>
      <c r="B336" t="s">
        <v>292</v>
      </c>
      <c r="C336">
        <v>45</v>
      </c>
      <c r="D336" t="s">
        <v>61</v>
      </c>
      <c r="E336" t="s">
        <v>21</v>
      </c>
      <c r="F336" t="s">
        <v>47</v>
      </c>
      <c r="G336" t="s">
        <v>33</v>
      </c>
      <c r="H336" s="2">
        <v>46175</v>
      </c>
      <c r="I336" s="2" t="str">
        <f>IFERROR(VLOOKUP(HR_Employees[[#This Row],[Employee_ID]],'[1]Synthetic Exit Data'!$A$2:$E$235,4,0)," NA")</f>
        <v>2026-06-26</v>
      </c>
      <c r="J336" t="s">
        <v>49</v>
      </c>
      <c r="K336">
        <v>5</v>
      </c>
      <c r="L336" s="3">
        <v>92384</v>
      </c>
      <c r="M336" t="s">
        <v>66</v>
      </c>
      <c r="N336" t="s">
        <v>43</v>
      </c>
      <c r="O336">
        <v>0.17</v>
      </c>
      <c r="P336" t="s">
        <v>27</v>
      </c>
      <c r="Q336" t="s">
        <v>92</v>
      </c>
      <c r="R336">
        <v>2026</v>
      </c>
      <c r="S336">
        <f>IF(AND(HR_Employees[[#This Row],[Attrition]]="YES",HR_Employees[[#This Row],[Exit_Date]]&lt;&gt;""),YEAR(HR_Employees[[#This Row],[Exit_Date]]),"")</f>
        <v>2026</v>
      </c>
    </row>
    <row r="337" spans="1:19">
      <c r="A337" t="s">
        <v>627</v>
      </c>
      <c r="B337" t="s">
        <v>628</v>
      </c>
      <c r="C337">
        <v>29</v>
      </c>
      <c r="D337" t="s">
        <v>31</v>
      </c>
      <c r="E337" t="s">
        <v>21</v>
      </c>
      <c r="F337" t="s">
        <v>55</v>
      </c>
      <c r="G337" t="s">
        <v>23</v>
      </c>
      <c r="H337" s="2">
        <v>45821</v>
      </c>
      <c r="I337" s="2" t="str">
        <f>IFERROR(VLOOKUP(HR_Employees[[#This Row],[Employee_ID]],'[1]Synthetic Exit Data'!$A$2:$E$235,4,0)," NA")</f>
        <v xml:space="preserve"> NA</v>
      </c>
      <c r="J337" t="s">
        <v>24</v>
      </c>
      <c r="K337">
        <v>3</v>
      </c>
      <c r="L337" s="3">
        <v>46091</v>
      </c>
      <c r="M337" t="s">
        <v>42</v>
      </c>
      <c r="N337" t="s">
        <v>56</v>
      </c>
      <c r="O337">
        <v>1.33</v>
      </c>
      <c r="P337" t="s">
        <v>35</v>
      </c>
      <c r="Q337" t="s">
        <v>44</v>
      </c>
      <c r="R337">
        <v>2025</v>
      </c>
      <c r="S337" t="str">
        <f>IF(AND(HR_Employees[[#This Row],[Attrition]]="YES",HR_Employees[[#This Row],[Exit_Date]]&lt;&gt;""),YEAR(HR_Employees[[#This Row],[Exit_Date]]),"")</f>
        <v/>
      </c>
    </row>
    <row r="338" spans="1:19">
      <c r="A338" t="s">
        <v>629</v>
      </c>
      <c r="B338" t="s">
        <v>630</v>
      </c>
      <c r="C338">
        <v>30</v>
      </c>
      <c r="D338" t="s">
        <v>31</v>
      </c>
      <c r="E338" t="s">
        <v>32</v>
      </c>
      <c r="F338" t="s">
        <v>151</v>
      </c>
      <c r="G338" t="s">
        <v>23</v>
      </c>
      <c r="H338" s="2">
        <v>45548</v>
      </c>
      <c r="I338" s="2" t="str">
        <f>IFERROR(VLOOKUP(HR_Employees[[#This Row],[Employee_ID]],'[1]Synthetic Exit Data'!$A$2:$E$235,4,0)," NA")</f>
        <v xml:space="preserve"> NA</v>
      </c>
      <c r="J338" t="s">
        <v>24</v>
      </c>
      <c r="K338">
        <v>4</v>
      </c>
      <c r="L338" s="3">
        <v>99202</v>
      </c>
      <c r="M338" t="s">
        <v>66</v>
      </c>
      <c r="N338" t="s">
        <v>56</v>
      </c>
      <c r="O338">
        <v>2.08</v>
      </c>
      <c r="P338" t="s">
        <v>35</v>
      </c>
      <c r="Q338" t="s">
        <v>92</v>
      </c>
      <c r="R338">
        <v>2024</v>
      </c>
      <c r="S338" t="str">
        <f>IF(AND(HR_Employees[[#This Row],[Attrition]]="YES",HR_Employees[[#This Row],[Exit_Date]]&lt;&gt;""),YEAR(HR_Employees[[#This Row],[Exit_Date]]),"")</f>
        <v/>
      </c>
    </row>
    <row r="339" spans="1:19">
      <c r="A339" t="s">
        <v>631</v>
      </c>
      <c r="B339" t="s">
        <v>173</v>
      </c>
      <c r="C339">
        <v>30</v>
      </c>
      <c r="D339" t="s">
        <v>31</v>
      </c>
      <c r="E339" t="s">
        <v>32</v>
      </c>
      <c r="F339" t="s">
        <v>40</v>
      </c>
      <c r="G339" t="s">
        <v>33</v>
      </c>
      <c r="H339" s="2">
        <v>45111</v>
      </c>
      <c r="I339" s="2" t="str">
        <f>IFERROR(VLOOKUP(HR_Employees[[#This Row],[Employee_ID]],'[1]Synthetic Exit Data'!$A$2:$E$235,4,0)," NA")</f>
        <v>2023-12-06</v>
      </c>
      <c r="J339" t="s">
        <v>49</v>
      </c>
      <c r="K339">
        <v>2</v>
      </c>
      <c r="L339" s="3">
        <v>96224</v>
      </c>
      <c r="M339" t="s">
        <v>66</v>
      </c>
      <c r="N339" t="s">
        <v>50</v>
      </c>
      <c r="O339">
        <v>3.25</v>
      </c>
      <c r="P339" t="s">
        <v>27</v>
      </c>
      <c r="Q339" t="s">
        <v>28</v>
      </c>
      <c r="R339">
        <v>2023</v>
      </c>
      <c r="S339">
        <f>IF(AND(HR_Employees[[#This Row],[Attrition]]="YES",HR_Employees[[#This Row],[Exit_Date]]&lt;&gt;""),YEAR(HR_Employees[[#This Row],[Exit_Date]]),"")</f>
        <v>2023</v>
      </c>
    </row>
    <row r="340" spans="1:19">
      <c r="A340" t="s">
        <v>632</v>
      </c>
      <c r="B340" t="s">
        <v>226</v>
      </c>
      <c r="C340">
        <v>41</v>
      </c>
      <c r="D340" t="s">
        <v>61</v>
      </c>
      <c r="E340" t="s">
        <v>21</v>
      </c>
      <c r="F340" t="s">
        <v>40</v>
      </c>
      <c r="G340" t="s">
        <v>41</v>
      </c>
      <c r="H340" s="2">
        <v>45364</v>
      </c>
      <c r="I340" s="2" t="str">
        <f>IFERROR(VLOOKUP(HR_Employees[[#This Row],[Employee_ID]],'[1]Synthetic Exit Data'!$A$2:$E$235,4,0)," NA")</f>
        <v xml:space="preserve"> NA</v>
      </c>
      <c r="J340" t="s">
        <v>24</v>
      </c>
      <c r="K340">
        <v>4</v>
      </c>
      <c r="L340" s="3">
        <v>63284</v>
      </c>
      <c r="M340" t="s">
        <v>34</v>
      </c>
      <c r="N340" t="s">
        <v>56</v>
      </c>
      <c r="O340">
        <v>2.58</v>
      </c>
      <c r="P340" t="s">
        <v>125</v>
      </c>
      <c r="Q340" t="s">
        <v>76</v>
      </c>
      <c r="R340">
        <v>2024</v>
      </c>
      <c r="S340" t="str">
        <f>IF(AND(HR_Employees[[#This Row],[Attrition]]="YES",HR_Employees[[#This Row],[Exit_Date]]&lt;&gt;""),YEAR(HR_Employees[[#This Row],[Exit_Date]]),"")</f>
        <v/>
      </c>
    </row>
    <row r="341" spans="1:19">
      <c r="A341" t="s">
        <v>633</v>
      </c>
      <c r="B341" t="s">
        <v>634</v>
      </c>
      <c r="C341">
        <v>29</v>
      </c>
      <c r="D341" t="s">
        <v>31</v>
      </c>
      <c r="E341" t="s">
        <v>21</v>
      </c>
      <c r="F341" t="s">
        <v>22</v>
      </c>
      <c r="G341" t="s">
        <v>33</v>
      </c>
      <c r="H341" s="2">
        <v>44847</v>
      </c>
      <c r="I341" s="2" t="str">
        <f>IFERROR(VLOOKUP(HR_Employees[[#This Row],[Employee_ID]],'[1]Synthetic Exit Data'!$A$2:$E$235,4,0)," NA")</f>
        <v xml:space="preserve"> NA</v>
      </c>
      <c r="J341" t="s">
        <v>24</v>
      </c>
      <c r="K341">
        <v>3</v>
      </c>
      <c r="L341" s="3">
        <v>31464</v>
      </c>
      <c r="M341" t="s">
        <v>42</v>
      </c>
      <c r="N341" t="s">
        <v>50</v>
      </c>
      <c r="O341">
        <v>4</v>
      </c>
      <c r="P341" t="s">
        <v>57</v>
      </c>
      <c r="Q341" t="s">
        <v>92</v>
      </c>
      <c r="R341">
        <v>2022</v>
      </c>
      <c r="S341" t="str">
        <f>IF(AND(HR_Employees[[#This Row],[Attrition]]="YES",HR_Employees[[#This Row],[Exit_Date]]&lt;&gt;""),YEAR(HR_Employees[[#This Row],[Exit_Date]]),"")</f>
        <v/>
      </c>
    </row>
    <row r="342" spans="1:19">
      <c r="A342" t="s">
        <v>635</v>
      </c>
      <c r="B342" t="s">
        <v>286</v>
      </c>
      <c r="C342">
        <v>46</v>
      </c>
      <c r="D342" t="s">
        <v>20</v>
      </c>
      <c r="E342" t="s">
        <v>21</v>
      </c>
      <c r="F342" t="s">
        <v>73</v>
      </c>
      <c r="G342" t="s">
        <v>48</v>
      </c>
      <c r="H342" s="2">
        <v>45749</v>
      </c>
      <c r="I342" s="2" t="str">
        <f>IFERROR(VLOOKUP(HR_Employees[[#This Row],[Employee_ID]],'[1]Synthetic Exit Data'!$A$2:$E$235,4,0)," NA")</f>
        <v>2025-09-06</v>
      </c>
      <c r="J342" t="s">
        <v>49</v>
      </c>
      <c r="K342">
        <v>3</v>
      </c>
      <c r="L342" s="3">
        <v>39395</v>
      </c>
      <c r="M342" t="s">
        <v>42</v>
      </c>
      <c r="N342" t="s">
        <v>56</v>
      </c>
      <c r="O342">
        <v>1.5</v>
      </c>
      <c r="P342" t="s">
        <v>27</v>
      </c>
      <c r="Q342" t="s">
        <v>36</v>
      </c>
      <c r="R342">
        <v>2025</v>
      </c>
      <c r="S342">
        <f>IF(AND(HR_Employees[[#This Row],[Attrition]]="YES",HR_Employees[[#This Row],[Exit_Date]]&lt;&gt;""),YEAR(HR_Employees[[#This Row],[Exit_Date]]),"")</f>
        <v>2025</v>
      </c>
    </row>
    <row r="343" spans="1:19">
      <c r="A343" t="s">
        <v>636</v>
      </c>
      <c r="B343" t="s">
        <v>368</v>
      </c>
      <c r="C343">
        <v>33</v>
      </c>
      <c r="D343" t="s">
        <v>31</v>
      </c>
      <c r="E343" t="s">
        <v>21</v>
      </c>
      <c r="F343" t="s">
        <v>40</v>
      </c>
      <c r="G343" t="s">
        <v>33</v>
      </c>
      <c r="H343" s="2">
        <v>45151</v>
      </c>
      <c r="I343" s="2" t="str">
        <f>IFERROR(VLOOKUP(HR_Employees[[#This Row],[Employee_ID]],'[1]Synthetic Exit Data'!$A$2:$E$235,4,0)," NA")</f>
        <v xml:space="preserve"> NA</v>
      </c>
      <c r="J343" t="s">
        <v>24</v>
      </c>
      <c r="K343">
        <v>4</v>
      </c>
      <c r="L343" s="3">
        <v>18206</v>
      </c>
      <c r="M343" t="s">
        <v>82</v>
      </c>
      <c r="N343" t="s">
        <v>50</v>
      </c>
      <c r="O343">
        <v>3.17</v>
      </c>
      <c r="P343" t="s">
        <v>51</v>
      </c>
      <c r="Q343" t="s">
        <v>92</v>
      </c>
      <c r="R343">
        <v>2023</v>
      </c>
      <c r="S343" t="str">
        <f>IF(AND(HR_Employees[[#This Row],[Attrition]]="YES",HR_Employees[[#This Row],[Exit_Date]]&lt;&gt;""),YEAR(HR_Employees[[#This Row],[Exit_Date]]),"")</f>
        <v/>
      </c>
    </row>
    <row r="344" spans="1:19">
      <c r="A344" t="s">
        <v>637</v>
      </c>
      <c r="B344" t="s">
        <v>106</v>
      </c>
      <c r="C344">
        <v>33</v>
      </c>
      <c r="D344" t="s">
        <v>31</v>
      </c>
      <c r="E344" t="s">
        <v>21</v>
      </c>
      <c r="F344" t="s">
        <v>40</v>
      </c>
      <c r="G344" t="s">
        <v>41</v>
      </c>
      <c r="H344" s="2">
        <v>44201</v>
      </c>
      <c r="I344" s="2" t="str">
        <f>IFERROR(VLOOKUP(HR_Employees[[#This Row],[Employee_ID]],'[1]Synthetic Exit Data'!$A$2:$E$235,4,0)," NA")</f>
        <v>2021-04-08</v>
      </c>
      <c r="J344" t="s">
        <v>49</v>
      </c>
      <c r="K344">
        <v>4</v>
      </c>
      <c r="L344" s="3">
        <v>27785</v>
      </c>
      <c r="M344" t="s">
        <v>82</v>
      </c>
      <c r="N344" t="s">
        <v>79</v>
      </c>
      <c r="O344">
        <v>5.58</v>
      </c>
      <c r="P344" t="s">
        <v>57</v>
      </c>
      <c r="Q344" t="s">
        <v>36</v>
      </c>
      <c r="R344">
        <v>2021</v>
      </c>
      <c r="S344">
        <f>IF(AND(HR_Employees[[#This Row],[Attrition]]="YES",HR_Employees[[#This Row],[Exit_Date]]&lt;&gt;""),YEAR(HR_Employees[[#This Row],[Exit_Date]]),"")</f>
        <v>2021</v>
      </c>
    </row>
    <row r="345" spans="1:19">
      <c r="A345" t="s">
        <v>638</v>
      </c>
      <c r="B345" t="s">
        <v>639</v>
      </c>
      <c r="C345">
        <v>37</v>
      </c>
      <c r="D345" t="s">
        <v>61</v>
      </c>
      <c r="E345" t="s">
        <v>32</v>
      </c>
      <c r="F345" t="s">
        <v>22</v>
      </c>
      <c r="G345" t="s">
        <v>23</v>
      </c>
      <c r="H345" s="2">
        <v>41195</v>
      </c>
      <c r="I345" s="2" t="str">
        <f>IFERROR(VLOOKUP(HR_Employees[[#This Row],[Employee_ID]],'[1]Synthetic Exit Data'!$A$2:$E$235,4,0)," NA")</f>
        <v xml:space="preserve"> NA</v>
      </c>
      <c r="J345" t="s">
        <v>24</v>
      </c>
      <c r="K345">
        <v>4</v>
      </c>
      <c r="L345" s="3">
        <v>22046</v>
      </c>
      <c r="M345" t="s">
        <v>82</v>
      </c>
      <c r="N345" t="s">
        <v>26</v>
      </c>
      <c r="O345">
        <v>14</v>
      </c>
      <c r="P345" t="s">
        <v>27</v>
      </c>
      <c r="Q345" t="s">
        <v>62</v>
      </c>
      <c r="R345">
        <v>2012</v>
      </c>
      <c r="S345" t="str">
        <f>IF(AND(HR_Employees[[#This Row],[Attrition]]="YES",HR_Employees[[#This Row],[Exit_Date]]&lt;&gt;""),YEAR(HR_Employees[[#This Row],[Exit_Date]]),"")</f>
        <v/>
      </c>
    </row>
    <row r="346" spans="1:19">
      <c r="A346" t="s">
        <v>640</v>
      </c>
      <c r="B346" t="s">
        <v>641</v>
      </c>
      <c r="C346">
        <v>29</v>
      </c>
      <c r="D346" t="s">
        <v>31</v>
      </c>
      <c r="E346" t="s">
        <v>21</v>
      </c>
      <c r="F346" t="s">
        <v>65</v>
      </c>
      <c r="G346" t="s">
        <v>23</v>
      </c>
      <c r="H346" s="2">
        <v>44390</v>
      </c>
      <c r="I346" s="2" t="str">
        <f>IFERROR(VLOOKUP(HR_Employees[[#This Row],[Employee_ID]],'[1]Synthetic Exit Data'!$A$2:$E$235,4,0)," NA")</f>
        <v xml:space="preserve"> NA</v>
      </c>
      <c r="J346" t="s">
        <v>24</v>
      </c>
      <c r="K346">
        <v>5</v>
      </c>
      <c r="L346" s="3">
        <v>29174</v>
      </c>
      <c r="M346" t="s">
        <v>82</v>
      </c>
      <c r="N346" t="s">
        <v>79</v>
      </c>
      <c r="O346">
        <v>5.25</v>
      </c>
      <c r="P346" t="s">
        <v>57</v>
      </c>
      <c r="Q346" t="s">
        <v>76</v>
      </c>
      <c r="R346">
        <v>2021</v>
      </c>
      <c r="S346" t="str">
        <f>IF(AND(HR_Employees[[#This Row],[Attrition]]="YES",HR_Employees[[#This Row],[Exit_Date]]&lt;&gt;""),YEAR(HR_Employees[[#This Row],[Exit_Date]]),"")</f>
        <v/>
      </c>
    </row>
    <row r="347" spans="1:19">
      <c r="A347" t="s">
        <v>642</v>
      </c>
      <c r="B347" t="s">
        <v>98</v>
      </c>
      <c r="C347">
        <v>43</v>
      </c>
      <c r="D347" t="s">
        <v>61</v>
      </c>
      <c r="E347" t="s">
        <v>32</v>
      </c>
      <c r="F347" t="s">
        <v>73</v>
      </c>
      <c r="G347" t="s">
        <v>23</v>
      </c>
      <c r="H347" s="2">
        <v>44299</v>
      </c>
      <c r="I347" s="2" t="str">
        <f>IFERROR(VLOOKUP(HR_Employees[[#This Row],[Employee_ID]],'[1]Synthetic Exit Data'!$A$2:$E$235,4,0)," NA")</f>
        <v xml:space="preserve"> NA</v>
      </c>
      <c r="J347" t="s">
        <v>24</v>
      </c>
      <c r="K347">
        <v>4</v>
      </c>
      <c r="L347" s="3">
        <v>73791</v>
      </c>
      <c r="M347" t="s">
        <v>34</v>
      </c>
      <c r="N347" t="s">
        <v>79</v>
      </c>
      <c r="O347">
        <v>5.5</v>
      </c>
      <c r="P347" t="s">
        <v>27</v>
      </c>
      <c r="Q347" t="s">
        <v>36</v>
      </c>
      <c r="R347">
        <v>2021</v>
      </c>
      <c r="S347" t="str">
        <f>IF(AND(HR_Employees[[#This Row],[Attrition]]="YES",HR_Employees[[#This Row],[Exit_Date]]&lt;&gt;""),YEAR(HR_Employees[[#This Row],[Exit_Date]]),"")</f>
        <v/>
      </c>
    </row>
    <row r="348" spans="1:19">
      <c r="A348" t="s">
        <v>643</v>
      </c>
      <c r="B348" t="s">
        <v>350</v>
      </c>
      <c r="C348">
        <v>28</v>
      </c>
      <c r="D348" t="s">
        <v>31</v>
      </c>
      <c r="E348" t="s">
        <v>32</v>
      </c>
      <c r="F348" t="s">
        <v>22</v>
      </c>
      <c r="G348" t="s">
        <v>33</v>
      </c>
      <c r="H348" s="2">
        <v>46216</v>
      </c>
      <c r="I348" s="2" t="str">
        <f>IFERROR(VLOOKUP(HR_Employees[[#This Row],[Employee_ID]],'[1]Synthetic Exit Data'!$A$2:$E$235,4,0)," NA")</f>
        <v xml:space="preserve"> NA</v>
      </c>
      <c r="J348" t="s">
        <v>24</v>
      </c>
      <c r="K348">
        <v>5</v>
      </c>
      <c r="L348" s="3">
        <v>40237</v>
      </c>
      <c r="M348" t="s">
        <v>42</v>
      </c>
      <c r="N348" t="s">
        <v>43</v>
      </c>
      <c r="O348">
        <v>0.25</v>
      </c>
      <c r="P348" t="s">
        <v>57</v>
      </c>
      <c r="Q348" t="s">
        <v>58</v>
      </c>
      <c r="R348">
        <v>2026</v>
      </c>
      <c r="S348" t="str">
        <f>IF(AND(HR_Employees[[#This Row],[Attrition]]="YES",HR_Employees[[#This Row],[Exit_Date]]&lt;&gt;""),YEAR(HR_Employees[[#This Row],[Exit_Date]]),"")</f>
        <v/>
      </c>
    </row>
    <row r="349" spans="1:19">
      <c r="A349" t="s">
        <v>644</v>
      </c>
      <c r="B349" t="s">
        <v>528</v>
      </c>
      <c r="C349">
        <v>49</v>
      </c>
      <c r="D349" t="s">
        <v>20</v>
      </c>
      <c r="E349" t="s">
        <v>32</v>
      </c>
      <c r="F349" t="s">
        <v>47</v>
      </c>
      <c r="G349" t="s">
        <v>23</v>
      </c>
      <c r="H349" s="2">
        <v>44708</v>
      </c>
      <c r="I349" s="2" t="str">
        <f>IFERROR(VLOOKUP(HR_Employees[[#This Row],[Employee_ID]],'[1]Synthetic Exit Data'!$A$2:$E$235,4,0)," NA")</f>
        <v>2022-06-09</v>
      </c>
      <c r="J349" t="s">
        <v>49</v>
      </c>
      <c r="K349">
        <v>4</v>
      </c>
      <c r="L349" s="3">
        <v>70327</v>
      </c>
      <c r="M349" t="s">
        <v>34</v>
      </c>
      <c r="N349" t="s">
        <v>50</v>
      </c>
      <c r="O349">
        <v>4.25</v>
      </c>
      <c r="P349" t="s">
        <v>125</v>
      </c>
      <c r="Q349" t="s">
        <v>76</v>
      </c>
      <c r="R349">
        <v>2022</v>
      </c>
      <c r="S349">
        <f>IF(AND(HR_Employees[[#This Row],[Attrition]]="YES",HR_Employees[[#This Row],[Exit_Date]]&lt;&gt;""),YEAR(HR_Employees[[#This Row],[Exit_Date]]),"")</f>
        <v>2022</v>
      </c>
    </row>
    <row r="350" spans="1:19">
      <c r="A350" t="s">
        <v>645</v>
      </c>
      <c r="B350" t="s">
        <v>646</v>
      </c>
      <c r="C350">
        <v>32</v>
      </c>
      <c r="D350" t="s">
        <v>31</v>
      </c>
      <c r="E350" t="s">
        <v>32</v>
      </c>
      <c r="F350" t="s">
        <v>40</v>
      </c>
      <c r="G350" t="s">
        <v>114</v>
      </c>
      <c r="H350" s="2">
        <v>44847</v>
      </c>
      <c r="I350" s="2" t="str">
        <f>IFERROR(VLOOKUP(HR_Employees[[#This Row],[Employee_ID]],'[1]Synthetic Exit Data'!$A$2:$E$235,4,0)," NA")</f>
        <v xml:space="preserve"> NA</v>
      </c>
      <c r="J350" t="s">
        <v>24</v>
      </c>
      <c r="K350">
        <v>5</v>
      </c>
      <c r="L350" s="3">
        <v>55241</v>
      </c>
      <c r="M350" t="s">
        <v>34</v>
      </c>
      <c r="N350" t="s">
        <v>50</v>
      </c>
      <c r="O350">
        <v>4</v>
      </c>
      <c r="P350" t="s">
        <v>27</v>
      </c>
      <c r="Q350" t="s">
        <v>44</v>
      </c>
      <c r="R350">
        <v>2022</v>
      </c>
      <c r="S350" t="str">
        <f>IF(AND(HR_Employees[[#This Row],[Attrition]]="YES",HR_Employees[[#This Row],[Exit_Date]]&lt;&gt;""),YEAR(HR_Employees[[#This Row],[Exit_Date]]),"")</f>
        <v/>
      </c>
    </row>
    <row r="351" spans="1:19">
      <c r="A351" t="s">
        <v>647</v>
      </c>
      <c r="B351" t="s">
        <v>648</v>
      </c>
      <c r="C351">
        <v>26</v>
      </c>
      <c r="D351" t="s">
        <v>31</v>
      </c>
      <c r="E351" t="s">
        <v>32</v>
      </c>
      <c r="F351" t="s">
        <v>109</v>
      </c>
      <c r="G351" t="s">
        <v>33</v>
      </c>
      <c r="H351" s="2">
        <v>45851</v>
      </c>
      <c r="I351" s="2" t="str">
        <f>IFERROR(VLOOKUP(HR_Employees[[#This Row],[Employee_ID]],'[1]Synthetic Exit Data'!$A$2:$E$235,4,0)," NA")</f>
        <v xml:space="preserve"> NA</v>
      </c>
      <c r="J351" t="s">
        <v>24</v>
      </c>
      <c r="K351">
        <v>2</v>
      </c>
      <c r="L351" s="3">
        <v>28216</v>
      </c>
      <c r="M351" t="s">
        <v>82</v>
      </c>
      <c r="N351" t="s">
        <v>56</v>
      </c>
      <c r="O351">
        <v>1.25</v>
      </c>
      <c r="P351" t="s">
        <v>27</v>
      </c>
      <c r="Q351" t="s">
        <v>28</v>
      </c>
      <c r="R351">
        <v>2025</v>
      </c>
      <c r="S351" t="str">
        <f>IF(AND(HR_Employees[[#This Row],[Attrition]]="YES",HR_Employees[[#This Row],[Exit_Date]]&lt;&gt;""),YEAR(HR_Employees[[#This Row],[Exit_Date]]),"")</f>
        <v/>
      </c>
    </row>
    <row r="352" spans="1:19">
      <c r="A352" t="s">
        <v>649</v>
      </c>
      <c r="B352" t="s">
        <v>650</v>
      </c>
      <c r="C352">
        <v>35</v>
      </c>
      <c r="D352" t="s">
        <v>31</v>
      </c>
      <c r="E352" t="s">
        <v>21</v>
      </c>
      <c r="F352" t="s">
        <v>65</v>
      </c>
      <c r="G352" t="s">
        <v>48</v>
      </c>
      <c r="H352" s="2">
        <v>43903</v>
      </c>
      <c r="I352" s="2" t="str">
        <f>IFERROR(VLOOKUP(HR_Employees[[#This Row],[Employee_ID]],'[1]Synthetic Exit Data'!$A$2:$E$235,4,0)," NA")</f>
        <v xml:space="preserve"> NA</v>
      </c>
      <c r="J352" t="s">
        <v>24</v>
      </c>
      <c r="K352">
        <v>3</v>
      </c>
      <c r="L352" s="3">
        <v>36358</v>
      </c>
      <c r="M352" t="s">
        <v>42</v>
      </c>
      <c r="N352" t="s">
        <v>79</v>
      </c>
      <c r="O352">
        <v>6.58</v>
      </c>
      <c r="P352" t="s">
        <v>51</v>
      </c>
      <c r="Q352" t="s">
        <v>58</v>
      </c>
      <c r="R352">
        <v>2020</v>
      </c>
      <c r="S352" t="str">
        <f>IF(AND(HR_Employees[[#This Row],[Attrition]]="YES",HR_Employees[[#This Row],[Exit_Date]]&lt;&gt;""),YEAR(HR_Employees[[#This Row],[Exit_Date]]),"")</f>
        <v/>
      </c>
    </row>
    <row r="353" spans="1:19">
      <c r="A353" t="s">
        <v>651</v>
      </c>
      <c r="B353" t="s">
        <v>229</v>
      </c>
      <c r="C353">
        <v>48</v>
      </c>
      <c r="D353" t="s">
        <v>20</v>
      </c>
      <c r="E353" t="s">
        <v>21</v>
      </c>
      <c r="F353" t="s">
        <v>40</v>
      </c>
      <c r="G353" t="s">
        <v>23</v>
      </c>
      <c r="H353" s="2">
        <v>45335</v>
      </c>
      <c r="I353" s="2" t="str">
        <f>IFERROR(VLOOKUP(HR_Employees[[#This Row],[Employee_ID]],'[1]Synthetic Exit Data'!$A$2:$E$235,4,0)," NA")</f>
        <v xml:space="preserve"> NA</v>
      </c>
      <c r="J353" t="s">
        <v>24</v>
      </c>
      <c r="K353">
        <v>4</v>
      </c>
      <c r="L353" s="3">
        <v>29991</v>
      </c>
      <c r="M353" t="s">
        <v>82</v>
      </c>
      <c r="N353" t="s">
        <v>56</v>
      </c>
      <c r="O353">
        <v>2.67</v>
      </c>
      <c r="P353" t="s">
        <v>27</v>
      </c>
      <c r="Q353" t="s">
        <v>76</v>
      </c>
      <c r="R353">
        <v>2024</v>
      </c>
      <c r="S353" t="str">
        <f>IF(AND(HR_Employees[[#This Row],[Attrition]]="YES",HR_Employees[[#This Row],[Exit_Date]]&lt;&gt;""),YEAR(HR_Employees[[#This Row],[Exit_Date]]),"")</f>
        <v/>
      </c>
    </row>
    <row r="354" spans="1:19">
      <c r="A354" t="s">
        <v>652</v>
      </c>
      <c r="B354" t="s">
        <v>124</v>
      </c>
      <c r="C354">
        <v>28</v>
      </c>
      <c r="D354" t="s">
        <v>31</v>
      </c>
      <c r="E354" t="s">
        <v>32</v>
      </c>
      <c r="F354" t="s">
        <v>55</v>
      </c>
      <c r="G354" t="s">
        <v>33</v>
      </c>
      <c r="H354" s="2">
        <v>46278</v>
      </c>
      <c r="I354" s="2" t="str">
        <f>IFERROR(VLOOKUP(HR_Employees[[#This Row],[Employee_ID]],'[1]Synthetic Exit Data'!$A$2:$E$235,4,0)," NA")</f>
        <v xml:space="preserve"> NA</v>
      </c>
      <c r="J354" t="s">
        <v>24</v>
      </c>
      <c r="K354">
        <v>3</v>
      </c>
      <c r="L354" s="3">
        <v>99059</v>
      </c>
      <c r="M354" t="s">
        <v>66</v>
      </c>
      <c r="N354" t="s">
        <v>43</v>
      </c>
      <c r="O354">
        <v>0.08</v>
      </c>
      <c r="P354" t="s">
        <v>27</v>
      </c>
      <c r="Q354" t="s">
        <v>86</v>
      </c>
      <c r="R354">
        <v>2026</v>
      </c>
      <c r="S354" t="str">
        <f>IF(AND(HR_Employees[[#This Row],[Attrition]]="YES",HR_Employees[[#This Row],[Exit_Date]]&lt;&gt;""),YEAR(HR_Employees[[#This Row],[Exit_Date]]),"")</f>
        <v/>
      </c>
    </row>
    <row r="355" spans="1:19">
      <c r="A355" t="s">
        <v>653</v>
      </c>
      <c r="B355" t="s">
        <v>654</v>
      </c>
      <c r="C355">
        <v>25</v>
      </c>
      <c r="D355" t="s">
        <v>39</v>
      </c>
      <c r="E355" t="s">
        <v>32</v>
      </c>
      <c r="F355" t="s">
        <v>73</v>
      </c>
      <c r="G355" t="s">
        <v>48</v>
      </c>
      <c r="H355" s="2">
        <v>46146</v>
      </c>
      <c r="I355" s="2" t="str">
        <f>IFERROR(VLOOKUP(HR_Employees[[#This Row],[Employee_ID]],'[1]Synthetic Exit Data'!$A$2:$E$235,4,0)," NA")</f>
        <v>2026-08-06</v>
      </c>
      <c r="J355" t="s">
        <v>49</v>
      </c>
      <c r="K355">
        <v>3</v>
      </c>
      <c r="L355" s="3">
        <v>89272</v>
      </c>
      <c r="M355" t="s">
        <v>66</v>
      </c>
      <c r="N355" t="s">
        <v>43</v>
      </c>
      <c r="O355">
        <v>0.33</v>
      </c>
      <c r="P355" t="s">
        <v>125</v>
      </c>
      <c r="Q355" t="s">
        <v>62</v>
      </c>
      <c r="R355">
        <v>2026</v>
      </c>
      <c r="S355">
        <f>IF(AND(HR_Employees[[#This Row],[Attrition]]="YES",HR_Employees[[#This Row],[Exit_Date]]&lt;&gt;""),YEAR(HR_Employees[[#This Row],[Exit_Date]]),"")</f>
        <v>2026</v>
      </c>
    </row>
    <row r="356" spans="1:19">
      <c r="A356" t="s">
        <v>655</v>
      </c>
      <c r="B356" t="s">
        <v>656</v>
      </c>
      <c r="C356">
        <v>35</v>
      </c>
      <c r="D356" t="s">
        <v>31</v>
      </c>
      <c r="E356" t="s">
        <v>21</v>
      </c>
      <c r="F356" t="s">
        <v>47</v>
      </c>
      <c r="G356" t="s">
        <v>33</v>
      </c>
      <c r="H356" s="2">
        <v>45304</v>
      </c>
      <c r="I356" s="2" t="str">
        <f>IFERROR(VLOOKUP(HR_Employees[[#This Row],[Employee_ID]],'[1]Synthetic Exit Data'!$A$2:$E$235,4,0)," NA")</f>
        <v xml:space="preserve"> NA</v>
      </c>
      <c r="J356" t="s">
        <v>24</v>
      </c>
      <c r="K356">
        <v>4</v>
      </c>
      <c r="L356" s="3">
        <v>54986</v>
      </c>
      <c r="M356" t="s">
        <v>34</v>
      </c>
      <c r="N356" t="s">
        <v>56</v>
      </c>
      <c r="O356">
        <v>2.75</v>
      </c>
      <c r="P356" t="s">
        <v>57</v>
      </c>
      <c r="Q356" t="s">
        <v>58</v>
      </c>
      <c r="R356">
        <v>2024</v>
      </c>
      <c r="S356" t="str">
        <f>IF(AND(HR_Employees[[#This Row],[Attrition]]="YES",HR_Employees[[#This Row],[Exit_Date]]&lt;&gt;""),YEAR(HR_Employees[[#This Row],[Exit_Date]]),"")</f>
        <v/>
      </c>
    </row>
    <row r="357" spans="1:19">
      <c r="A357" t="s">
        <v>657</v>
      </c>
      <c r="B357" t="s">
        <v>205</v>
      </c>
      <c r="C357">
        <v>27</v>
      </c>
      <c r="D357" t="s">
        <v>31</v>
      </c>
      <c r="E357" t="s">
        <v>32</v>
      </c>
      <c r="F357" t="s">
        <v>55</v>
      </c>
      <c r="G357" t="s">
        <v>48</v>
      </c>
      <c r="H357" s="2">
        <v>46186</v>
      </c>
      <c r="I357" s="2" t="str">
        <f>IFERROR(VLOOKUP(HR_Employees[[#This Row],[Employee_ID]],'[1]Synthetic Exit Data'!$A$2:$E$235,4,0)," NA")</f>
        <v xml:space="preserve"> NA</v>
      </c>
      <c r="J357" t="s">
        <v>24</v>
      </c>
      <c r="K357">
        <v>2</v>
      </c>
      <c r="L357" s="3">
        <v>74295</v>
      </c>
      <c r="M357" t="s">
        <v>34</v>
      </c>
      <c r="N357" t="s">
        <v>43</v>
      </c>
      <c r="O357">
        <v>0.33</v>
      </c>
      <c r="P357" t="s">
        <v>57</v>
      </c>
      <c r="Q357" t="s">
        <v>86</v>
      </c>
      <c r="R357">
        <v>2026</v>
      </c>
      <c r="S357" t="str">
        <f>IF(AND(HR_Employees[[#This Row],[Attrition]]="YES",HR_Employees[[#This Row],[Exit_Date]]&lt;&gt;""),YEAR(HR_Employees[[#This Row],[Exit_Date]]),"")</f>
        <v/>
      </c>
    </row>
    <row r="358" spans="1:19">
      <c r="A358" t="s">
        <v>658</v>
      </c>
      <c r="B358" t="s">
        <v>659</v>
      </c>
      <c r="C358">
        <v>52</v>
      </c>
      <c r="D358" t="s">
        <v>20</v>
      </c>
      <c r="E358" t="s">
        <v>32</v>
      </c>
      <c r="F358" t="s">
        <v>40</v>
      </c>
      <c r="G358" t="s">
        <v>23</v>
      </c>
      <c r="H358" s="2">
        <v>45059</v>
      </c>
      <c r="I358" s="2" t="str">
        <f>IFERROR(VLOOKUP(HR_Employees[[#This Row],[Employee_ID]],'[1]Synthetic Exit Data'!$A$2:$E$235,4,0)," NA")</f>
        <v xml:space="preserve"> NA</v>
      </c>
      <c r="J358" t="s">
        <v>24</v>
      </c>
      <c r="K358">
        <v>4</v>
      </c>
      <c r="L358" s="3">
        <v>66897</v>
      </c>
      <c r="M358" t="s">
        <v>34</v>
      </c>
      <c r="N358" t="s">
        <v>50</v>
      </c>
      <c r="O358">
        <v>3.42</v>
      </c>
      <c r="P358" t="s">
        <v>83</v>
      </c>
      <c r="Q358" t="s">
        <v>62</v>
      </c>
      <c r="R358">
        <v>2023</v>
      </c>
      <c r="S358" t="str">
        <f>IF(AND(HR_Employees[[#This Row],[Attrition]]="YES",HR_Employees[[#This Row],[Exit_Date]]&lt;&gt;""),YEAR(HR_Employees[[#This Row],[Exit_Date]]),"")</f>
        <v/>
      </c>
    </row>
    <row r="359" spans="1:19">
      <c r="A359" t="s">
        <v>660</v>
      </c>
      <c r="B359" t="s">
        <v>661</v>
      </c>
      <c r="C359">
        <v>37</v>
      </c>
      <c r="D359" t="s">
        <v>61</v>
      </c>
      <c r="E359" t="s">
        <v>21</v>
      </c>
      <c r="F359" t="s">
        <v>47</v>
      </c>
      <c r="G359" t="s">
        <v>48</v>
      </c>
      <c r="H359" s="2">
        <v>45029</v>
      </c>
      <c r="I359" s="2" t="str">
        <f>IFERROR(VLOOKUP(HR_Employees[[#This Row],[Employee_ID]],'[1]Synthetic Exit Data'!$A$2:$E$235,4,0)," NA")</f>
        <v xml:space="preserve"> NA</v>
      </c>
      <c r="J359" t="s">
        <v>24</v>
      </c>
      <c r="K359">
        <v>4</v>
      </c>
      <c r="L359" s="3">
        <v>30463</v>
      </c>
      <c r="M359" t="s">
        <v>42</v>
      </c>
      <c r="N359" t="s">
        <v>50</v>
      </c>
      <c r="O359">
        <v>3.5</v>
      </c>
      <c r="P359" t="s">
        <v>57</v>
      </c>
      <c r="Q359" t="s">
        <v>76</v>
      </c>
      <c r="R359">
        <v>2023</v>
      </c>
      <c r="S359" t="str">
        <f>IF(AND(HR_Employees[[#This Row],[Attrition]]="YES",HR_Employees[[#This Row],[Exit_Date]]&lt;&gt;""),YEAR(HR_Employees[[#This Row],[Exit_Date]]),"")</f>
        <v/>
      </c>
    </row>
    <row r="360" spans="1:19">
      <c r="A360" t="s">
        <v>662</v>
      </c>
      <c r="B360" t="s">
        <v>663</v>
      </c>
      <c r="C360">
        <v>23</v>
      </c>
      <c r="D360" t="s">
        <v>39</v>
      </c>
      <c r="E360" t="s">
        <v>21</v>
      </c>
      <c r="F360" t="s">
        <v>22</v>
      </c>
      <c r="G360" t="s">
        <v>23</v>
      </c>
      <c r="H360" s="2">
        <v>42687</v>
      </c>
      <c r="I360" s="2" t="str">
        <f>IFERROR(VLOOKUP(HR_Employees[[#This Row],[Employee_ID]],'[1]Synthetic Exit Data'!$A$2:$E$235,4,0)," NA")</f>
        <v xml:space="preserve"> NA</v>
      </c>
      <c r="J360" t="s">
        <v>24</v>
      </c>
      <c r="K360">
        <v>2</v>
      </c>
      <c r="L360" s="3">
        <v>48057</v>
      </c>
      <c r="M360" t="s">
        <v>42</v>
      </c>
      <c r="N360" t="s">
        <v>79</v>
      </c>
      <c r="O360">
        <v>9.92</v>
      </c>
      <c r="P360" t="s">
        <v>57</v>
      </c>
      <c r="Q360" t="s">
        <v>58</v>
      </c>
      <c r="R360">
        <v>2016</v>
      </c>
      <c r="S360" t="str">
        <f>IF(AND(HR_Employees[[#This Row],[Attrition]]="YES",HR_Employees[[#This Row],[Exit_Date]]&lt;&gt;""),YEAR(HR_Employees[[#This Row],[Exit_Date]]),"")</f>
        <v/>
      </c>
    </row>
    <row r="361" spans="1:19">
      <c r="A361" t="s">
        <v>664</v>
      </c>
      <c r="B361" t="s">
        <v>111</v>
      </c>
      <c r="C361">
        <v>31</v>
      </c>
      <c r="D361" t="s">
        <v>31</v>
      </c>
      <c r="E361" t="s">
        <v>21</v>
      </c>
      <c r="F361" t="s">
        <v>55</v>
      </c>
      <c r="G361" t="s">
        <v>23</v>
      </c>
      <c r="H361" s="2">
        <v>42076</v>
      </c>
      <c r="I361" s="2" t="str">
        <f>IFERROR(VLOOKUP(HR_Employees[[#This Row],[Employee_ID]],'[1]Synthetic Exit Data'!$A$2:$E$235,4,0)," NA")</f>
        <v xml:space="preserve"> NA</v>
      </c>
      <c r="J361" t="s">
        <v>24</v>
      </c>
      <c r="K361">
        <v>3</v>
      </c>
      <c r="L361" s="3">
        <v>94948</v>
      </c>
      <c r="M361" t="s">
        <v>66</v>
      </c>
      <c r="N361" t="s">
        <v>26</v>
      </c>
      <c r="O361">
        <v>11.58</v>
      </c>
      <c r="P361" t="s">
        <v>57</v>
      </c>
      <c r="Q361" t="s">
        <v>92</v>
      </c>
      <c r="R361">
        <v>2015</v>
      </c>
      <c r="S361" t="str">
        <f>IF(AND(HR_Employees[[#This Row],[Attrition]]="YES",HR_Employees[[#This Row],[Exit_Date]]&lt;&gt;""),YEAR(HR_Employees[[#This Row],[Exit_Date]]),"")</f>
        <v/>
      </c>
    </row>
    <row r="362" spans="1:19">
      <c r="A362" t="s">
        <v>665</v>
      </c>
      <c r="B362" t="s">
        <v>666</v>
      </c>
      <c r="C362">
        <v>33</v>
      </c>
      <c r="D362" t="s">
        <v>31</v>
      </c>
      <c r="E362" t="s">
        <v>32</v>
      </c>
      <c r="F362" t="s">
        <v>55</v>
      </c>
      <c r="G362" t="s">
        <v>48</v>
      </c>
      <c r="H362" s="2">
        <v>44650</v>
      </c>
      <c r="I362" s="2" t="str">
        <f>IFERROR(VLOOKUP(HR_Employees[[#This Row],[Employee_ID]],'[1]Synthetic Exit Data'!$A$2:$E$235,4,0)," NA")</f>
        <v>2024-08-04</v>
      </c>
      <c r="J362" t="s">
        <v>49</v>
      </c>
      <c r="K362">
        <v>3</v>
      </c>
      <c r="L362" s="3">
        <v>159541</v>
      </c>
      <c r="M362" t="s">
        <v>25</v>
      </c>
      <c r="N362" t="s">
        <v>50</v>
      </c>
      <c r="O362">
        <v>4.5</v>
      </c>
      <c r="P362" t="s">
        <v>57</v>
      </c>
      <c r="Q362" t="s">
        <v>58</v>
      </c>
      <c r="R362">
        <v>2022</v>
      </c>
      <c r="S362">
        <f>IF(AND(HR_Employees[[#This Row],[Attrition]]="YES",HR_Employees[[#This Row],[Exit_Date]]&lt;&gt;""),YEAR(HR_Employees[[#This Row],[Exit_Date]]),"")</f>
        <v>2024</v>
      </c>
    </row>
    <row r="363" spans="1:19">
      <c r="A363" t="s">
        <v>667</v>
      </c>
      <c r="B363" t="s">
        <v>668</v>
      </c>
      <c r="C363">
        <v>29</v>
      </c>
      <c r="D363" t="s">
        <v>31</v>
      </c>
      <c r="E363" t="s">
        <v>32</v>
      </c>
      <c r="F363" t="s">
        <v>151</v>
      </c>
      <c r="G363" t="s">
        <v>114</v>
      </c>
      <c r="H363" s="2">
        <v>45029</v>
      </c>
      <c r="I363" s="2" t="str">
        <f>IFERROR(VLOOKUP(HR_Employees[[#This Row],[Employee_ID]],'[1]Synthetic Exit Data'!$A$2:$E$235,4,0)," NA")</f>
        <v xml:space="preserve"> NA</v>
      </c>
      <c r="J363" t="s">
        <v>24</v>
      </c>
      <c r="K363">
        <v>3</v>
      </c>
      <c r="L363" s="3">
        <v>31276</v>
      </c>
      <c r="M363" t="s">
        <v>42</v>
      </c>
      <c r="N363" t="s">
        <v>50</v>
      </c>
      <c r="O363">
        <v>3.5</v>
      </c>
      <c r="P363" t="s">
        <v>57</v>
      </c>
      <c r="Q363" t="s">
        <v>28</v>
      </c>
      <c r="R363">
        <v>2023</v>
      </c>
      <c r="S363" t="str">
        <f>IF(AND(HR_Employees[[#This Row],[Attrition]]="YES",HR_Employees[[#This Row],[Exit_Date]]&lt;&gt;""),YEAR(HR_Employees[[#This Row],[Exit_Date]]),"")</f>
        <v/>
      </c>
    </row>
    <row r="364" spans="1:19">
      <c r="A364" t="s">
        <v>669</v>
      </c>
      <c r="B364" t="s">
        <v>464</v>
      </c>
      <c r="C364">
        <v>22</v>
      </c>
      <c r="D364" t="s">
        <v>39</v>
      </c>
      <c r="E364" t="s">
        <v>21</v>
      </c>
      <c r="F364" t="s">
        <v>109</v>
      </c>
      <c r="G364" t="s">
        <v>23</v>
      </c>
      <c r="H364" s="2">
        <v>45943</v>
      </c>
      <c r="I364" s="2" t="str">
        <f>IFERROR(VLOOKUP(HR_Employees[[#This Row],[Employee_ID]],'[1]Synthetic Exit Data'!$A$2:$E$235,4,0)," NA")</f>
        <v xml:space="preserve"> NA</v>
      </c>
      <c r="J364" t="s">
        <v>24</v>
      </c>
      <c r="K364">
        <v>5</v>
      </c>
      <c r="L364" s="3">
        <v>53402</v>
      </c>
      <c r="M364" t="s">
        <v>34</v>
      </c>
      <c r="N364" t="s">
        <v>43</v>
      </c>
      <c r="O364">
        <v>1</v>
      </c>
      <c r="P364" t="s">
        <v>51</v>
      </c>
      <c r="Q364" t="s">
        <v>76</v>
      </c>
      <c r="R364">
        <v>2025</v>
      </c>
      <c r="S364" t="str">
        <f>IF(AND(HR_Employees[[#This Row],[Attrition]]="YES",HR_Employees[[#This Row],[Exit_Date]]&lt;&gt;""),YEAR(HR_Employees[[#This Row],[Exit_Date]]),"")</f>
        <v/>
      </c>
    </row>
    <row r="365" spans="1:19">
      <c r="A365" t="s">
        <v>670</v>
      </c>
      <c r="B365" t="s">
        <v>251</v>
      </c>
      <c r="C365">
        <v>35</v>
      </c>
      <c r="D365" t="s">
        <v>31</v>
      </c>
      <c r="E365" t="s">
        <v>21</v>
      </c>
      <c r="F365" t="s">
        <v>109</v>
      </c>
      <c r="G365" t="s">
        <v>41</v>
      </c>
      <c r="H365" s="2">
        <v>41042</v>
      </c>
      <c r="I365" s="2" t="str">
        <f>IFERROR(VLOOKUP(HR_Employees[[#This Row],[Employee_ID]],'[1]Synthetic Exit Data'!$A$2:$E$235,4,0)," NA")</f>
        <v xml:space="preserve"> NA</v>
      </c>
      <c r="J365" t="s">
        <v>24</v>
      </c>
      <c r="K365">
        <v>3</v>
      </c>
      <c r="L365" s="3">
        <v>111961</v>
      </c>
      <c r="M365" t="s">
        <v>25</v>
      </c>
      <c r="N365" t="s">
        <v>26</v>
      </c>
      <c r="O365">
        <v>14.42</v>
      </c>
      <c r="P365" t="s">
        <v>125</v>
      </c>
      <c r="Q365" t="s">
        <v>44</v>
      </c>
      <c r="R365">
        <v>2012</v>
      </c>
      <c r="S365" t="str">
        <f>IF(AND(HR_Employees[[#This Row],[Attrition]]="YES",HR_Employees[[#This Row],[Exit_Date]]&lt;&gt;""),YEAR(HR_Employees[[#This Row],[Exit_Date]]),"")</f>
        <v/>
      </c>
    </row>
    <row r="366" spans="1:19">
      <c r="A366" t="s">
        <v>671</v>
      </c>
      <c r="B366" t="s">
        <v>238</v>
      </c>
      <c r="C366">
        <v>28</v>
      </c>
      <c r="D366" t="s">
        <v>31</v>
      </c>
      <c r="E366" t="s">
        <v>32</v>
      </c>
      <c r="F366" t="s">
        <v>65</v>
      </c>
      <c r="G366" t="s">
        <v>48</v>
      </c>
      <c r="H366" s="2">
        <v>45182</v>
      </c>
      <c r="I366" s="2" t="str">
        <f>IFERROR(VLOOKUP(HR_Employees[[#This Row],[Employee_ID]],'[1]Synthetic Exit Data'!$A$2:$E$235,4,0)," NA")</f>
        <v xml:space="preserve"> NA</v>
      </c>
      <c r="J366" t="s">
        <v>24</v>
      </c>
      <c r="K366">
        <v>3</v>
      </c>
      <c r="L366" s="3">
        <v>59385</v>
      </c>
      <c r="M366" t="s">
        <v>34</v>
      </c>
      <c r="N366" t="s">
        <v>50</v>
      </c>
      <c r="O366">
        <v>3.08</v>
      </c>
      <c r="P366" t="s">
        <v>125</v>
      </c>
      <c r="Q366" t="s">
        <v>76</v>
      </c>
      <c r="R366">
        <v>2023</v>
      </c>
      <c r="S366" t="str">
        <f>IF(AND(HR_Employees[[#This Row],[Attrition]]="YES",HR_Employees[[#This Row],[Exit_Date]]&lt;&gt;""),YEAR(HR_Employees[[#This Row],[Exit_Date]]),"")</f>
        <v/>
      </c>
    </row>
    <row r="367" spans="1:19">
      <c r="A367" t="s">
        <v>672</v>
      </c>
      <c r="B367" t="s">
        <v>673</v>
      </c>
      <c r="C367">
        <v>26</v>
      </c>
      <c r="D367" t="s">
        <v>31</v>
      </c>
      <c r="E367" t="s">
        <v>21</v>
      </c>
      <c r="F367" t="s">
        <v>73</v>
      </c>
      <c r="G367" t="s">
        <v>33</v>
      </c>
      <c r="H367" s="2">
        <v>45851</v>
      </c>
      <c r="I367" s="2" t="str">
        <f>IFERROR(VLOOKUP(HR_Employees[[#This Row],[Employee_ID]],'[1]Synthetic Exit Data'!$A$2:$E$235,4,0)," NA")</f>
        <v xml:space="preserve"> NA</v>
      </c>
      <c r="J367" t="s">
        <v>24</v>
      </c>
      <c r="K367">
        <v>2</v>
      </c>
      <c r="L367" s="3">
        <v>87761</v>
      </c>
      <c r="M367" t="s">
        <v>66</v>
      </c>
      <c r="N367" t="s">
        <v>56</v>
      </c>
      <c r="O367">
        <v>1.25</v>
      </c>
      <c r="P367" t="s">
        <v>35</v>
      </c>
      <c r="Q367" t="s">
        <v>62</v>
      </c>
      <c r="R367">
        <v>2025</v>
      </c>
      <c r="S367" t="str">
        <f>IF(AND(HR_Employees[[#This Row],[Attrition]]="YES",HR_Employees[[#This Row],[Exit_Date]]&lt;&gt;""),YEAR(HR_Employees[[#This Row],[Exit_Date]]),"")</f>
        <v/>
      </c>
    </row>
    <row r="368" spans="1:19">
      <c r="A368" t="s">
        <v>674</v>
      </c>
      <c r="B368" t="s">
        <v>576</v>
      </c>
      <c r="C368">
        <v>48</v>
      </c>
      <c r="D368" t="s">
        <v>20</v>
      </c>
      <c r="E368" t="s">
        <v>21</v>
      </c>
      <c r="F368" t="s">
        <v>55</v>
      </c>
      <c r="G368" t="s">
        <v>23</v>
      </c>
      <c r="H368" s="2">
        <v>45243</v>
      </c>
      <c r="I368" s="2" t="str">
        <f>IFERROR(VLOOKUP(HR_Employees[[#This Row],[Employee_ID]],'[1]Synthetic Exit Data'!$A$2:$E$235,4,0)," NA")</f>
        <v xml:space="preserve"> NA</v>
      </c>
      <c r="J368" t="s">
        <v>24</v>
      </c>
      <c r="K368">
        <v>1</v>
      </c>
      <c r="L368" s="3">
        <v>34464</v>
      </c>
      <c r="M368" t="s">
        <v>42</v>
      </c>
      <c r="N368" t="s">
        <v>56</v>
      </c>
      <c r="O368">
        <v>2.92</v>
      </c>
      <c r="P368" t="s">
        <v>51</v>
      </c>
      <c r="Q368" t="s">
        <v>92</v>
      </c>
      <c r="R368">
        <v>2023</v>
      </c>
      <c r="S368" t="str">
        <f>IF(AND(HR_Employees[[#This Row],[Attrition]]="YES",HR_Employees[[#This Row],[Exit_Date]]&lt;&gt;""),YEAR(HR_Employees[[#This Row],[Exit_Date]]),"")</f>
        <v/>
      </c>
    </row>
    <row r="369" spans="1:19">
      <c r="A369" t="s">
        <v>675</v>
      </c>
      <c r="B369" t="s">
        <v>676</v>
      </c>
      <c r="C369">
        <v>22</v>
      </c>
      <c r="D369" t="s">
        <v>39</v>
      </c>
      <c r="E369" t="s">
        <v>32</v>
      </c>
      <c r="F369" t="s">
        <v>109</v>
      </c>
      <c r="G369" t="s">
        <v>23</v>
      </c>
      <c r="H369" s="2">
        <v>43721</v>
      </c>
      <c r="I369" s="2" t="str">
        <f>IFERROR(VLOOKUP(HR_Employees[[#This Row],[Employee_ID]],'[1]Synthetic Exit Data'!$A$2:$E$235,4,0)," NA")</f>
        <v xml:space="preserve"> NA</v>
      </c>
      <c r="J369" t="s">
        <v>24</v>
      </c>
      <c r="K369">
        <v>3</v>
      </c>
      <c r="L369" s="3">
        <v>18236</v>
      </c>
      <c r="M369" t="s">
        <v>82</v>
      </c>
      <c r="N369" t="s">
        <v>79</v>
      </c>
      <c r="O369">
        <v>7.08</v>
      </c>
      <c r="P369" t="s">
        <v>27</v>
      </c>
      <c r="Q369" t="s">
        <v>36</v>
      </c>
      <c r="R369">
        <v>2019</v>
      </c>
      <c r="S369" t="str">
        <f>IF(AND(HR_Employees[[#This Row],[Attrition]]="YES",HR_Employees[[#This Row],[Exit_Date]]&lt;&gt;""),YEAR(HR_Employees[[#This Row],[Exit_Date]]),"")</f>
        <v/>
      </c>
    </row>
    <row r="370" spans="1:19">
      <c r="A370" t="s">
        <v>677</v>
      </c>
      <c r="B370" t="s">
        <v>678</v>
      </c>
      <c r="C370">
        <v>22</v>
      </c>
      <c r="D370" t="s">
        <v>39</v>
      </c>
      <c r="E370" t="s">
        <v>21</v>
      </c>
      <c r="F370" t="s">
        <v>65</v>
      </c>
      <c r="G370" t="s">
        <v>41</v>
      </c>
      <c r="H370" s="2">
        <v>45790</v>
      </c>
      <c r="I370" s="2" t="str">
        <f>IFERROR(VLOOKUP(HR_Employees[[#This Row],[Employee_ID]],'[1]Synthetic Exit Data'!$A$2:$E$235,4,0)," NA")</f>
        <v xml:space="preserve"> NA</v>
      </c>
      <c r="J370" t="s">
        <v>24</v>
      </c>
      <c r="K370">
        <v>3</v>
      </c>
      <c r="L370" s="3">
        <v>54308</v>
      </c>
      <c r="M370" t="s">
        <v>34</v>
      </c>
      <c r="N370" t="s">
        <v>56</v>
      </c>
      <c r="O370">
        <v>1.42</v>
      </c>
      <c r="P370" t="s">
        <v>57</v>
      </c>
      <c r="Q370" t="s">
        <v>62</v>
      </c>
      <c r="R370">
        <v>2025</v>
      </c>
      <c r="S370" t="str">
        <f>IF(AND(HR_Employees[[#This Row],[Attrition]]="YES",HR_Employees[[#This Row],[Exit_Date]]&lt;&gt;""),YEAR(HR_Employees[[#This Row],[Exit_Date]]),"")</f>
        <v/>
      </c>
    </row>
    <row r="371" spans="1:19">
      <c r="A371" t="s">
        <v>679</v>
      </c>
      <c r="B371" t="s">
        <v>680</v>
      </c>
      <c r="C371">
        <v>50</v>
      </c>
      <c r="D371" t="s">
        <v>20</v>
      </c>
      <c r="E371" t="s">
        <v>21</v>
      </c>
      <c r="F371" t="s">
        <v>55</v>
      </c>
      <c r="G371" t="s">
        <v>33</v>
      </c>
      <c r="H371" s="2">
        <v>45943</v>
      </c>
      <c r="I371" s="2" t="str">
        <f>IFERROR(VLOOKUP(HR_Employees[[#This Row],[Employee_ID]],'[1]Synthetic Exit Data'!$A$2:$E$235,4,0)," NA")</f>
        <v xml:space="preserve"> NA</v>
      </c>
      <c r="J371" t="s">
        <v>24</v>
      </c>
      <c r="K371">
        <v>4</v>
      </c>
      <c r="L371" s="3">
        <v>79569</v>
      </c>
      <c r="M371" t="s">
        <v>66</v>
      </c>
      <c r="N371" t="s">
        <v>43</v>
      </c>
      <c r="O371">
        <v>1</v>
      </c>
      <c r="P371" t="s">
        <v>27</v>
      </c>
      <c r="Q371" t="s">
        <v>58</v>
      </c>
      <c r="R371">
        <v>2025</v>
      </c>
      <c r="S371" t="str">
        <f>IF(AND(HR_Employees[[#This Row],[Attrition]]="YES",HR_Employees[[#This Row],[Exit_Date]]&lt;&gt;""),YEAR(HR_Employees[[#This Row],[Exit_Date]]),"")</f>
        <v/>
      </c>
    </row>
    <row r="372" spans="1:19">
      <c r="A372" t="s">
        <v>681</v>
      </c>
      <c r="B372" t="s">
        <v>415</v>
      </c>
      <c r="C372">
        <v>25</v>
      </c>
      <c r="D372" t="s">
        <v>39</v>
      </c>
      <c r="E372" t="s">
        <v>32</v>
      </c>
      <c r="F372" t="s">
        <v>73</v>
      </c>
      <c r="G372" t="s">
        <v>48</v>
      </c>
      <c r="H372" s="2">
        <v>45897</v>
      </c>
      <c r="I372" s="2" t="str">
        <f>IFERROR(VLOOKUP(HR_Employees[[#This Row],[Employee_ID]],'[1]Synthetic Exit Data'!$A$2:$E$235,4,0)," NA")</f>
        <v>2025-09-10</v>
      </c>
      <c r="J372" t="s">
        <v>49</v>
      </c>
      <c r="K372">
        <v>4</v>
      </c>
      <c r="L372" s="3">
        <v>76146</v>
      </c>
      <c r="M372" t="s">
        <v>66</v>
      </c>
      <c r="N372" t="s">
        <v>43</v>
      </c>
      <c r="O372">
        <v>1</v>
      </c>
      <c r="P372" t="s">
        <v>27</v>
      </c>
      <c r="Q372" t="s">
        <v>44</v>
      </c>
      <c r="R372">
        <v>2025</v>
      </c>
      <c r="S372">
        <f>IF(AND(HR_Employees[[#This Row],[Attrition]]="YES",HR_Employees[[#This Row],[Exit_Date]]&lt;&gt;""),YEAR(HR_Employees[[#This Row],[Exit_Date]]),"")</f>
        <v>2025</v>
      </c>
    </row>
    <row r="373" spans="1:19">
      <c r="A373" t="s">
        <v>682</v>
      </c>
      <c r="B373" t="s">
        <v>214</v>
      </c>
      <c r="C373">
        <v>42</v>
      </c>
      <c r="D373" t="s">
        <v>61</v>
      </c>
      <c r="E373" t="s">
        <v>21</v>
      </c>
      <c r="F373" t="s">
        <v>40</v>
      </c>
      <c r="G373" t="s">
        <v>33</v>
      </c>
      <c r="H373" s="2">
        <v>45504</v>
      </c>
      <c r="I373" s="2" t="str">
        <f>IFERROR(VLOOKUP(HR_Employees[[#This Row],[Employee_ID]],'[1]Synthetic Exit Data'!$A$2:$E$235,4,0)," NA")</f>
        <v>2024-11-03</v>
      </c>
      <c r="J373" t="s">
        <v>49</v>
      </c>
      <c r="K373">
        <v>3</v>
      </c>
      <c r="L373" s="3">
        <v>99224</v>
      </c>
      <c r="M373" t="s">
        <v>66</v>
      </c>
      <c r="N373" t="s">
        <v>56</v>
      </c>
      <c r="O373">
        <v>2</v>
      </c>
      <c r="P373" t="s">
        <v>57</v>
      </c>
      <c r="Q373" t="s">
        <v>92</v>
      </c>
      <c r="R373">
        <v>2024</v>
      </c>
      <c r="S373">
        <f>IF(AND(HR_Employees[[#This Row],[Attrition]]="YES",HR_Employees[[#This Row],[Exit_Date]]&lt;&gt;""),YEAR(HR_Employees[[#This Row],[Exit_Date]]),"")</f>
        <v>2024</v>
      </c>
    </row>
    <row r="374" spans="1:19">
      <c r="A374" t="s">
        <v>683</v>
      </c>
      <c r="B374" t="s">
        <v>684</v>
      </c>
      <c r="C374">
        <v>43</v>
      </c>
      <c r="D374" t="s">
        <v>61</v>
      </c>
      <c r="E374" t="s">
        <v>21</v>
      </c>
      <c r="F374" t="s">
        <v>73</v>
      </c>
      <c r="G374" t="s">
        <v>23</v>
      </c>
      <c r="H374" s="2">
        <v>44605</v>
      </c>
      <c r="I374" s="2" t="str">
        <f>IFERROR(VLOOKUP(HR_Employees[[#This Row],[Employee_ID]],'[1]Synthetic Exit Data'!$A$2:$E$235,4,0)," NA")</f>
        <v xml:space="preserve"> NA</v>
      </c>
      <c r="J374" t="s">
        <v>24</v>
      </c>
      <c r="K374">
        <v>4</v>
      </c>
      <c r="L374" s="3">
        <v>61262</v>
      </c>
      <c r="M374" t="s">
        <v>34</v>
      </c>
      <c r="N374" t="s">
        <v>50</v>
      </c>
      <c r="O374">
        <v>4.67</v>
      </c>
      <c r="P374" t="s">
        <v>27</v>
      </c>
      <c r="Q374" t="s">
        <v>58</v>
      </c>
      <c r="R374">
        <v>2022</v>
      </c>
      <c r="S374" t="str">
        <f>IF(AND(HR_Employees[[#This Row],[Attrition]]="YES",HR_Employees[[#This Row],[Exit_Date]]&lt;&gt;""),YEAR(HR_Employees[[#This Row],[Exit_Date]]),"")</f>
        <v/>
      </c>
    </row>
    <row r="375" spans="1:19">
      <c r="A375" t="s">
        <v>685</v>
      </c>
      <c r="B375" t="s">
        <v>686</v>
      </c>
      <c r="C375">
        <v>24</v>
      </c>
      <c r="D375" t="s">
        <v>39</v>
      </c>
      <c r="E375" t="s">
        <v>32</v>
      </c>
      <c r="F375" t="s">
        <v>47</v>
      </c>
      <c r="G375" t="s">
        <v>23</v>
      </c>
      <c r="H375" s="2">
        <v>46155</v>
      </c>
      <c r="I375" s="2" t="str">
        <f>IFERROR(VLOOKUP(HR_Employees[[#This Row],[Employee_ID]],'[1]Synthetic Exit Data'!$A$2:$E$235,4,0)," NA")</f>
        <v xml:space="preserve"> NA</v>
      </c>
      <c r="J375" t="s">
        <v>24</v>
      </c>
      <c r="K375">
        <v>3</v>
      </c>
      <c r="L375" s="3">
        <v>91933</v>
      </c>
      <c r="M375" t="s">
        <v>66</v>
      </c>
      <c r="N375" t="s">
        <v>43</v>
      </c>
      <c r="O375">
        <v>0.42</v>
      </c>
      <c r="P375" t="s">
        <v>51</v>
      </c>
      <c r="Q375" t="s">
        <v>76</v>
      </c>
      <c r="R375">
        <v>2026</v>
      </c>
      <c r="S375" t="str">
        <f>IF(AND(HR_Employees[[#This Row],[Attrition]]="YES",HR_Employees[[#This Row],[Exit_Date]]&lt;&gt;""),YEAR(HR_Employees[[#This Row],[Exit_Date]]),"")</f>
        <v/>
      </c>
    </row>
    <row r="376" spans="1:19">
      <c r="A376" t="s">
        <v>687</v>
      </c>
      <c r="B376" t="s">
        <v>88</v>
      </c>
      <c r="C376">
        <v>35</v>
      </c>
      <c r="D376" t="s">
        <v>31</v>
      </c>
      <c r="E376" t="s">
        <v>32</v>
      </c>
      <c r="F376" t="s">
        <v>22</v>
      </c>
      <c r="G376" t="s">
        <v>33</v>
      </c>
      <c r="H376" s="2">
        <v>45395</v>
      </c>
      <c r="I376" s="2" t="str">
        <f>IFERROR(VLOOKUP(HR_Employees[[#This Row],[Employee_ID]],'[1]Synthetic Exit Data'!$A$2:$E$235,4,0)," NA")</f>
        <v xml:space="preserve"> NA</v>
      </c>
      <c r="J376" t="s">
        <v>24</v>
      </c>
      <c r="K376">
        <v>3</v>
      </c>
      <c r="L376" s="3">
        <v>158045</v>
      </c>
      <c r="M376" t="s">
        <v>25</v>
      </c>
      <c r="N376" t="s">
        <v>56</v>
      </c>
      <c r="O376">
        <v>2.5</v>
      </c>
      <c r="P376" t="s">
        <v>27</v>
      </c>
      <c r="Q376" t="s">
        <v>92</v>
      </c>
      <c r="R376">
        <v>2024</v>
      </c>
      <c r="S376" t="str">
        <f>IF(AND(HR_Employees[[#This Row],[Attrition]]="YES",HR_Employees[[#This Row],[Exit_Date]]&lt;&gt;""),YEAR(HR_Employees[[#This Row],[Exit_Date]]),"")</f>
        <v/>
      </c>
    </row>
    <row r="377" spans="1:19">
      <c r="A377" t="s">
        <v>688</v>
      </c>
      <c r="B377" t="s">
        <v>286</v>
      </c>
      <c r="C377">
        <v>27</v>
      </c>
      <c r="D377" t="s">
        <v>31</v>
      </c>
      <c r="E377" t="s">
        <v>32</v>
      </c>
      <c r="F377" t="s">
        <v>40</v>
      </c>
      <c r="G377" t="s">
        <v>48</v>
      </c>
      <c r="H377" s="2">
        <v>45913</v>
      </c>
      <c r="I377" s="2" t="str">
        <f>IFERROR(VLOOKUP(HR_Employees[[#This Row],[Employee_ID]],'[1]Synthetic Exit Data'!$A$2:$E$235,4,0)," NA")</f>
        <v xml:space="preserve"> NA</v>
      </c>
      <c r="J377" t="s">
        <v>24</v>
      </c>
      <c r="K377">
        <v>4</v>
      </c>
      <c r="L377" s="3">
        <v>20518</v>
      </c>
      <c r="M377" t="s">
        <v>82</v>
      </c>
      <c r="N377" t="s">
        <v>56</v>
      </c>
      <c r="O377">
        <v>1.08</v>
      </c>
      <c r="P377" t="s">
        <v>125</v>
      </c>
      <c r="Q377" t="s">
        <v>58</v>
      </c>
      <c r="R377">
        <v>2025</v>
      </c>
      <c r="S377" t="str">
        <f>IF(AND(HR_Employees[[#This Row],[Attrition]]="YES",HR_Employees[[#This Row],[Exit_Date]]&lt;&gt;""),YEAR(HR_Employees[[#This Row],[Exit_Date]]),"")</f>
        <v/>
      </c>
    </row>
    <row r="378" spans="1:19">
      <c r="A378" t="s">
        <v>689</v>
      </c>
      <c r="B378" t="s">
        <v>690</v>
      </c>
      <c r="C378">
        <v>44</v>
      </c>
      <c r="D378" t="s">
        <v>61</v>
      </c>
      <c r="E378" t="s">
        <v>32</v>
      </c>
      <c r="F378" t="s">
        <v>151</v>
      </c>
      <c r="G378" t="s">
        <v>33</v>
      </c>
      <c r="H378" s="2">
        <v>45770</v>
      </c>
      <c r="I378" s="2" t="str">
        <f>IFERROR(VLOOKUP(HR_Employees[[#This Row],[Employee_ID]],'[1]Synthetic Exit Data'!$A$2:$E$235,4,0)," NA")</f>
        <v>2025-05-20</v>
      </c>
      <c r="J378" t="s">
        <v>49</v>
      </c>
      <c r="K378">
        <v>2</v>
      </c>
      <c r="L378" s="3">
        <v>20126</v>
      </c>
      <c r="M378" t="s">
        <v>82</v>
      </c>
      <c r="N378" t="s">
        <v>56</v>
      </c>
      <c r="O378">
        <v>1.42</v>
      </c>
      <c r="P378" t="s">
        <v>51</v>
      </c>
      <c r="Q378" t="s">
        <v>62</v>
      </c>
      <c r="R378">
        <v>2025</v>
      </c>
      <c r="S378">
        <f>IF(AND(HR_Employees[[#This Row],[Attrition]]="YES",HR_Employees[[#This Row],[Exit_Date]]&lt;&gt;""),YEAR(HR_Employees[[#This Row],[Exit_Date]]),"")</f>
        <v>2025</v>
      </c>
    </row>
    <row r="379" spans="1:19">
      <c r="A379" t="s">
        <v>691</v>
      </c>
      <c r="B379" t="s">
        <v>692</v>
      </c>
      <c r="C379">
        <v>33</v>
      </c>
      <c r="D379" t="s">
        <v>31</v>
      </c>
      <c r="E379" t="s">
        <v>21</v>
      </c>
      <c r="F379" t="s">
        <v>22</v>
      </c>
      <c r="G379" t="s">
        <v>41</v>
      </c>
      <c r="H379" s="2">
        <v>41151</v>
      </c>
      <c r="I379" s="2" t="str">
        <f>IFERROR(VLOOKUP(HR_Employees[[#This Row],[Employee_ID]],'[1]Synthetic Exit Data'!$A$2:$E$235,4,0)," NA")</f>
        <v>2016-08-14</v>
      </c>
      <c r="J379" t="s">
        <v>49</v>
      </c>
      <c r="K379">
        <v>2</v>
      </c>
      <c r="L379" s="3">
        <v>35545</v>
      </c>
      <c r="M379" t="s">
        <v>42</v>
      </c>
      <c r="N379" t="s">
        <v>26</v>
      </c>
      <c r="O379">
        <v>13.92</v>
      </c>
      <c r="P379" t="s">
        <v>51</v>
      </c>
      <c r="Q379" t="s">
        <v>92</v>
      </c>
      <c r="R379">
        <v>2012</v>
      </c>
      <c r="S379">
        <f>IF(AND(HR_Employees[[#This Row],[Attrition]]="YES",HR_Employees[[#This Row],[Exit_Date]]&lt;&gt;""),YEAR(HR_Employees[[#This Row],[Exit_Date]]),"")</f>
        <v>2016</v>
      </c>
    </row>
    <row r="380" spans="1:19">
      <c r="A380" t="s">
        <v>693</v>
      </c>
      <c r="B380" t="s">
        <v>694</v>
      </c>
      <c r="C380">
        <v>61</v>
      </c>
      <c r="D380" t="s">
        <v>54</v>
      </c>
      <c r="E380" t="s">
        <v>32</v>
      </c>
      <c r="F380" t="s">
        <v>109</v>
      </c>
      <c r="G380" t="s">
        <v>23</v>
      </c>
      <c r="H380" s="2">
        <v>45212</v>
      </c>
      <c r="I380" s="2" t="str">
        <f>IFERROR(VLOOKUP(HR_Employees[[#This Row],[Employee_ID]],'[1]Synthetic Exit Data'!$A$2:$E$235,4,0)," NA")</f>
        <v xml:space="preserve"> NA</v>
      </c>
      <c r="J380" t="s">
        <v>24</v>
      </c>
      <c r="K380">
        <v>4</v>
      </c>
      <c r="L380" s="3">
        <v>28622</v>
      </c>
      <c r="M380" t="s">
        <v>82</v>
      </c>
      <c r="N380" t="s">
        <v>56</v>
      </c>
      <c r="O380">
        <v>3</v>
      </c>
      <c r="P380" t="s">
        <v>35</v>
      </c>
      <c r="Q380" t="s">
        <v>92</v>
      </c>
      <c r="R380">
        <v>2023</v>
      </c>
      <c r="S380" t="str">
        <f>IF(AND(HR_Employees[[#This Row],[Attrition]]="YES",HR_Employees[[#This Row],[Exit_Date]]&lt;&gt;""),YEAR(HR_Employees[[#This Row],[Exit_Date]]),"")</f>
        <v/>
      </c>
    </row>
    <row r="381" spans="1:19">
      <c r="A381" t="s">
        <v>695</v>
      </c>
      <c r="B381" t="s">
        <v>201</v>
      </c>
      <c r="C381">
        <v>28</v>
      </c>
      <c r="D381" t="s">
        <v>31</v>
      </c>
      <c r="E381" t="s">
        <v>21</v>
      </c>
      <c r="F381" t="s">
        <v>109</v>
      </c>
      <c r="G381" t="s">
        <v>23</v>
      </c>
      <c r="H381" s="2">
        <v>44482</v>
      </c>
      <c r="I381" s="2" t="str">
        <f>IFERROR(VLOOKUP(HR_Employees[[#This Row],[Employee_ID]],'[1]Synthetic Exit Data'!$A$2:$E$235,4,0)," NA")</f>
        <v xml:space="preserve"> NA</v>
      </c>
      <c r="J381" t="s">
        <v>24</v>
      </c>
      <c r="K381">
        <v>3</v>
      </c>
      <c r="L381" s="3">
        <v>74664</v>
      </c>
      <c r="M381" t="s">
        <v>34</v>
      </c>
      <c r="N381" t="s">
        <v>50</v>
      </c>
      <c r="O381">
        <v>5</v>
      </c>
      <c r="P381" t="s">
        <v>27</v>
      </c>
      <c r="Q381" t="s">
        <v>76</v>
      </c>
      <c r="R381">
        <v>2021</v>
      </c>
      <c r="S381" t="str">
        <f>IF(AND(HR_Employees[[#This Row],[Attrition]]="YES",HR_Employees[[#This Row],[Exit_Date]]&lt;&gt;""),YEAR(HR_Employees[[#This Row],[Exit_Date]]),"")</f>
        <v/>
      </c>
    </row>
    <row r="382" spans="1:19">
      <c r="A382" t="s">
        <v>696</v>
      </c>
      <c r="B382" t="s">
        <v>697</v>
      </c>
      <c r="C382">
        <v>43</v>
      </c>
      <c r="D382" t="s">
        <v>61</v>
      </c>
      <c r="E382" t="s">
        <v>21</v>
      </c>
      <c r="F382" t="s">
        <v>109</v>
      </c>
      <c r="G382" t="s">
        <v>41</v>
      </c>
      <c r="H382" s="2">
        <v>45974</v>
      </c>
      <c r="I382" s="2" t="str">
        <f>IFERROR(VLOOKUP(HR_Employees[[#This Row],[Employee_ID]],'[1]Synthetic Exit Data'!$A$2:$E$235,4,0)," NA")</f>
        <v xml:space="preserve"> NA</v>
      </c>
      <c r="J382" t="s">
        <v>24</v>
      </c>
      <c r="K382">
        <v>3</v>
      </c>
      <c r="L382" s="3">
        <v>52813</v>
      </c>
      <c r="M382" t="s">
        <v>34</v>
      </c>
      <c r="N382" t="s">
        <v>43</v>
      </c>
      <c r="O382">
        <v>0.92</v>
      </c>
      <c r="P382" t="s">
        <v>57</v>
      </c>
      <c r="Q382" t="s">
        <v>36</v>
      </c>
      <c r="R382">
        <v>2025</v>
      </c>
      <c r="S382" t="str">
        <f>IF(AND(HR_Employees[[#This Row],[Attrition]]="YES",HR_Employees[[#This Row],[Exit_Date]]&lt;&gt;""),YEAR(HR_Employees[[#This Row],[Exit_Date]]),"")</f>
        <v/>
      </c>
    </row>
    <row r="383" spans="1:19">
      <c r="A383" t="s">
        <v>698</v>
      </c>
      <c r="B383" t="s">
        <v>348</v>
      </c>
      <c r="C383">
        <v>24</v>
      </c>
      <c r="D383" t="s">
        <v>39</v>
      </c>
      <c r="E383" t="s">
        <v>32</v>
      </c>
      <c r="F383" t="s">
        <v>109</v>
      </c>
      <c r="G383" t="s">
        <v>23</v>
      </c>
      <c r="H383" s="2">
        <v>45972</v>
      </c>
      <c r="I383" s="2" t="str">
        <f>IFERROR(VLOOKUP(HR_Employees[[#This Row],[Employee_ID]],'[1]Synthetic Exit Data'!$A$2:$E$235,4,0)," NA")</f>
        <v>2025-12-03</v>
      </c>
      <c r="J383" t="s">
        <v>49</v>
      </c>
      <c r="K383">
        <v>3</v>
      </c>
      <c r="L383" s="3">
        <v>54144</v>
      </c>
      <c r="M383" t="s">
        <v>34</v>
      </c>
      <c r="N383" t="s">
        <v>43</v>
      </c>
      <c r="O383">
        <v>0.83</v>
      </c>
      <c r="P383" t="s">
        <v>125</v>
      </c>
      <c r="Q383" t="s">
        <v>62</v>
      </c>
      <c r="R383">
        <v>2025</v>
      </c>
      <c r="S383">
        <f>IF(AND(HR_Employees[[#This Row],[Attrition]]="YES",HR_Employees[[#This Row],[Exit_Date]]&lt;&gt;""),YEAR(HR_Employees[[#This Row],[Exit_Date]]),"")</f>
        <v>2025</v>
      </c>
    </row>
    <row r="384" spans="1:19">
      <c r="A384" t="s">
        <v>699</v>
      </c>
      <c r="B384" t="s">
        <v>700</v>
      </c>
      <c r="C384">
        <v>25</v>
      </c>
      <c r="D384" t="s">
        <v>39</v>
      </c>
      <c r="E384" t="s">
        <v>32</v>
      </c>
      <c r="F384" t="s">
        <v>55</v>
      </c>
      <c r="G384" t="s">
        <v>41</v>
      </c>
      <c r="H384" s="2">
        <v>45960</v>
      </c>
      <c r="I384" s="2" t="str">
        <f>IFERROR(VLOOKUP(HR_Employees[[#This Row],[Employee_ID]],'[1]Synthetic Exit Data'!$A$2:$E$235,4,0)," NA")</f>
        <v>2025-12-12</v>
      </c>
      <c r="J384" t="s">
        <v>49</v>
      </c>
      <c r="K384">
        <v>4</v>
      </c>
      <c r="L384" s="3">
        <v>36843</v>
      </c>
      <c r="M384" t="s">
        <v>42</v>
      </c>
      <c r="N384" t="s">
        <v>43</v>
      </c>
      <c r="O384">
        <v>0.75</v>
      </c>
      <c r="P384" t="s">
        <v>27</v>
      </c>
      <c r="Q384" t="s">
        <v>58</v>
      </c>
      <c r="R384">
        <v>2025</v>
      </c>
      <c r="S384">
        <f>IF(AND(HR_Employees[[#This Row],[Attrition]]="YES",HR_Employees[[#This Row],[Exit_Date]]&lt;&gt;""),YEAR(HR_Employees[[#This Row],[Exit_Date]]),"")</f>
        <v>2025</v>
      </c>
    </row>
    <row r="385" spans="1:19">
      <c r="A385" t="s">
        <v>701</v>
      </c>
      <c r="B385" t="s">
        <v>702</v>
      </c>
      <c r="C385">
        <v>30</v>
      </c>
      <c r="D385" t="s">
        <v>31</v>
      </c>
      <c r="E385" t="s">
        <v>21</v>
      </c>
      <c r="F385" t="s">
        <v>109</v>
      </c>
      <c r="G385" t="s">
        <v>33</v>
      </c>
      <c r="H385" s="2">
        <v>45456</v>
      </c>
      <c r="I385" s="2" t="str">
        <f>IFERROR(VLOOKUP(HR_Employees[[#This Row],[Employee_ID]],'[1]Synthetic Exit Data'!$A$2:$E$235,4,0)," NA")</f>
        <v xml:space="preserve"> NA</v>
      </c>
      <c r="J385" t="s">
        <v>24</v>
      </c>
      <c r="K385">
        <v>3</v>
      </c>
      <c r="L385" s="3">
        <v>85270</v>
      </c>
      <c r="M385" t="s">
        <v>66</v>
      </c>
      <c r="N385" t="s">
        <v>56</v>
      </c>
      <c r="O385">
        <v>2.33</v>
      </c>
      <c r="P385" t="s">
        <v>57</v>
      </c>
      <c r="Q385" t="s">
        <v>76</v>
      </c>
      <c r="R385">
        <v>2024</v>
      </c>
      <c r="S385" t="str">
        <f>IF(AND(HR_Employees[[#This Row],[Attrition]]="YES",HR_Employees[[#This Row],[Exit_Date]]&lt;&gt;""),YEAR(HR_Employees[[#This Row],[Exit_Date]]),"")</f>
        <v/>
      </c>
    </row>
    <row r="386" spans="1:19">
      <c r="A386" t="s">
        <v>703</v>
      </c>
      <c r="B386" t="s">
        <v>661</v>
      </c>
      <c r="C386">
        <v>34</v>
      </c>
      <c r="D386" t="s">
        <v>31</v>
      </c>
      <c r="E386" t="s">
        <v>21</v>
      </c>
      <c r="F386" t="s">
        <v>55</v>
      </c>
      <c r="G386" t="s">
        <v>41</v>
      </c>
      <c r="H386" s="2">
        <v>41281</v>
      </c>
      <c r="I386" s="2" t="str">
        <f>IFERROR(VLOOKUP(HR_Employees[[#This Row],[Employee_ID]],'[1]Synthetic Exit Data'!$A$2:$E$235,4,0)," NA")</f>
        <v>2020-07-21</v>
      </c>
      <c r="J386" t="s">
        <v>49</v>
      </c>
      <c r="K386">
        <v>4</v>
      </c>
      <c r="L386" s="3">
        <v>65154</v>
      </c>
      <c r="M386" t="s">
        <v>34</v>
      </c>
      <c r="N386" t="s">
        <v>26</v>
      </c>
      <c r="O386">
        <v>13.67</v>
      </c>
      <c r="P386" t="s">
        <v>27</v>
      </c>
      <c r="Q386" t="s">
        <v>58</v>
      </c>
      <c r="R386">
        <v>2013</v>
      </c>
      <c r="S386">
        <f>IF(AND(HR_Employees[[#This Row],[Attrition]]="YES",HR_Employees[[#This Row],[Exit_Date]]&lt;&gt;""),YEAR(HR_Employees[[#This Row],[Exit_Date]]),"")</f>
        <v>2020</v>
      </c>
    </row>
    <row r="387" spans="1:19">
      <c r="A387" t="s">
        <v>704</v>
      </c>
      <c r="B387" t="s">
        <v>646</v>
      </c>
      <c r="C387">
        <v>38</v>
      </c>
      <c r="D387" t="s">
        <v>61</v>
      </c>
      <c r="E387" t="s">
        <v>32</v>
      </c>
      <c r="F387" t="s">
        <v>40</v>
      </c>
      <c r="G387" t="s">
        <v>41</v>
      </c>
      <c r="H387" s="2">
        <v>44878</v>
      </c>
      <c r="I387" s="2" t="str">
        <f>IFERROR(VLOOKUP(HR_Employees[[#This Row],[Employee_ID]],'[1]Synthetic Exit Data'!$A$2:$E$235,4,0)," NA")</f>
        <v xml:space="preserve"> NA</v>
      </c>
      <c r="J387" t="s">
        <v>24</v>
      </c>
      <c r="K387">
        <v>3</v>
      </c>
      <c r="L387" s="3">
        <v>45899</v>
      </c>
      <c r="M387" t="s">
        <v>42</v>
      </c>
      <c r="N387" t="s">
        <v>50</v>
      </c>
      <c r="O387">
        <v>3.92</v>
      </c>
      <c r="P387" t="s">
        <v>27</v>
      </c>
      <c r="Q387" t="s">
        <v>86</v>
      </c>
      <c r="R387">
        <v>2022</v>
      </c>
      <c r="S387" t="str">
        <f>IF(AND(HR_Employees[[#This Row],[Attrition]]="YES",HR_Employees[[#This Row],[Exit_Date]]&lt;&gt;""),YEAR(HR_Employees[[#This Row],[Exit_Date]]),"")</f>
        <v/>
      </c>
    </row>
    <row r="388" spans="1:19">
      <c r="A388" t="s">
        <v>705</v>
      </c>
      <c r="B388" t="s">
        <v>706</v>
      </c>
      <c r="C388">
        <v>23</v>
      </c>
      <c r="D388" t="s">
        <v>39</v>
      </c>
      <c r="E388" t="s">
        <v>32</v>
      </c>
      <c r="F388" t="s">
        <v>47</v>
      </c>
      <c r="G388" t="s">
        <v>23</v>
      </c>
      <c r="H388" s="2">
        <v>41711</v>
      </c>
      <c r="I388" s="2" t="str">
        <f>IFERROR(VLOOKUP(HR_Employees[[#This Row],[Employee_ID]],'[1]Synthetic Exit Data'!$A$2:$E$235,4,0)," NA")</f>
        <v xml:space="preserve"> NA</v>
      </c>
      <c r="J388" t="s">
        <v>24</v>
      </c>
      <c r="K388">
        <v>3</v>
      </c>
      <c r="L388" s="3">
        <v>62768</v>
      </c>
      <c r="M388" t="s">
        <v>34</v>
      </c>
      <c r="N388" t="s">
        <v>26</v>
      </c>
      <c r="O388">
        <v>12.58</v>
      </c>
      <c r="P388" t="s">
        <v>35</v>
      </c>
      <c r="Q388" t="s">
        <v>86</v>
      </c>
      <c r="R388">
        <v>2014</v>
      </c>
      <c r="S388" t="str">
        <f>IF(AND(HR_Employees[[#This Row],[Attrition]]="YES",HR_Employees[[#This Row],[Exit_Date]]&lt;&gt;""),YEAR(HR_Employees[[#This Row],[Exit_Date]]),"")</f>
        <v/>
      </c>
    </row>
    <row r="389" spans="1:19">
      <c r="A389" t="s">
        <v>707</v>
      </c>
      <c r="B389" t="s">
        <v>708</v>
      </c>
      <c r="C389">
        <v>22</v>
      </c>
      <c r="D389" t="s">
        <v>39</v>
      </c>
      <c r="E389" t="s">
        <v>32</v>
      </c>
      <c r="F389" t="s">
        <v>55</v>
      </c>
      <c r="G389" t="s">
        <v>23</v>
      </c>
      <c r="H389" s="2">
        <v>45514</v>
      </c>
      <c r="I389" s="2" t="str">
        <f>IFERROR(VLOOKUP(HR_Employees[[#This Row],[Employee_ID]],'[1]Synthetic Exit Data'!$A$2:$E$235,4,0)," NA")</f>
        <v>2024-11-05</v>
      </c>
      <c r="J389" t="s">
        <v>49</v>
      </c>
      <c r="K389">
        <v>4</v>
      </c>
      <c r="L389" s="3">
        <v>35247</v>
      </c>
      <c r="M389" t="s">
        <v>42</v>
      </c>
      <c r="N389" t="s">
        <v>56</v>
      </c>
      <c r="O389">
        <v>2.08</v>
      </c>
      <c r="P389" t="s">
        <v>27</v>
      </c>
      <c r="Q389" t="s">
        <v>62</v>
      </c>
      <c r="R389">
        <v>2024</v>
      </c>
      <c r="S389">
        <f>IF(AND(HR_Employees[[#This Row],[Attrition]]="YES",HR_Employees[[#This Row],[Exit_Date]]&lt;&gt;""),YEAR(HR_Employees[[#This Row],[Exit_Date]]),"")</f>
        <v>2024</v>
      </c>
    </row>
    <row r="390" spans="1:19">
      <c r="A390" t="s">
        <v>709</v>
      </c>
      <c r="B390" t="s">
        <v>710</v>
      </c>
      <c r="C390">
        <v>22</v>
      </c>
      <c r="D390" t="s">
        <v>39</v>
      </c>
      <c r="E390" t="s">
        <v>32</v>
      </c>
      <c r="F390" t="s">
        <v>109</v>
      </c>
      <c r="G390" t="s">
        <v>33</v>
      </c>
      <c r="H390" s="2">
        <v>41778</v>
      </c>
      <c r="I390" s="2" t="str">
        <f>IFERROR(VLOOKUP(HR_Employees[[#This Row],[Employee_ID]],'[1]Synthetic Exit Data'!$A$2:$E$235,4,0)," NA")</f>
        <v>2019-06-07</v>
      </c>
      <c r="J390" t="s">
        <v>49</v>
      </c>
      <c r="K390">
        <v>3</v>
      </c>
      <c r="L390" s="3">
        <v>159359</v>
      </c>
      <c r="M390" t="s">
        <v>25</v>
      </c>
      <c r="N390" t="s">
        <v>26</v>
      </c>
      <c r="O390">
        <v>12.25</v>
      </c>
      <c r="P390" t="s">
        <v>51</v>
      </c>
      <c r="Q390" t="s">
        <v>62</v>
      </c>
      <c r="R390">
        <v>2014</v>
      </c>
      <c r="S390">
        <f>IF(AND(HR_Employees[[#This Row],[Attrition]]="YES",HR_Employees[[#This Row],[Exit_Date]]&lt;&gt;""),YEAR(HR_Employees[[#This Row],[Exit_Date]]),"")</f>
        <v>2019</v>
      </c>
    </row>
    <row r="391" spans="1:19">
      <c r="A391" t="s">
        <v>711</v>
      </c>
      <c r="B391" t="s">
        <v>282</v>
      </c>
      <c r="C391">
        <v>35</v>
      </c>
      <c r="D391" t="s">
        <v>31</v>
      </c>
      <c r="E391" t="s">
        <v>32</v>
      </c>
      <c r="F391" t="s">
        <v>40</v>
      </c>
      <c r="G391" t="s">
        <v>23</v>
      </c>
      <c r="H391" s="2">
        <v>44755</v>
      </c>
      <c r="I391" s="2" t="str">
        <f>IFERROR(VLOOKUP(HR_Employees[[#This Row],[Employee_ID]],'[1]Synthetic Exit Data'!$A$2:$E$235,4,0)," NA")</f>
        <v xml:space="preserve"> NA</v>
      </c>
      <c r="J391" t="s">
        <v>24</v>
      </c>
      <c r="K391">
        <v>3</v>
      </c>
      <c r="L391" s="3">
        <v>43528</v>
      </c>
      <c r="M391" t="s">
        <v>42</v>
      </c>
      <c r="N391" t="s">
        <v>50</v>
      </c>
      <c r="O391">
        <v>4.25</v>
      </c>
      <c r="P391" t="s">
        <v>51</v>
      </c>
      <c r="Q391" t="s">
        <v>28</v>
      </c>
      <c r="R391">
        <v>2022</v>
      </c>
      <c r="S391" t="str">
        <f>IF(AND(HR_Employees[[#This Row],[Attrition]]="YES",HR_Employees[[#This Row],[Exit_Date]]&lt;&gt;""),YEAR(HR_Employees[[#This Row],[Exit_Date]]),"")</f>
        <v/>
      </c>
    </row>
    <row r="392" spans="1:19">
      <c r="A392" t="s">
        <v>712</v>
      </c>
      <c r="B392" t="s">
        <v>203</v>
      </c>
      <c r="C392">
        <v>34</v>
      </c>
      <c r="D392" t="s">
        <v>31</v>
      </c>
      <c r="E392" t="s">
        <v>21</v>
      </c>
      <c r="F392" t="s">
        <v>55</v>
      </c>
      <c r="G392" t="s">
        <v>23</v>
      </c>
      <c r="H392" s="2">
        <v>43665</v>
      </c>
      <c r="I392" s="2" t="str">
        <f>IFERROR(VLOOKUP(HR_Employees[[#This Row],[Employee_ID]],'[1]Synthetic Exit Data'!$A$2:$E$235,4,0)," NA")</f>
        <v>2021-06-22</v>
      </c>
      <c r="J392" t="s">
        <v>49</v>
      </c>
      <c r="K392">
        <v>4</v>
      </c>
      <c r="L392" s="3">
        <v>35367</v>
      </c>
      <c r="M392" t="s">
        <v>42</v>
      </c>
      <c r="N392" t="s">
        <v>79</v>
      </c>
      <c r="O392">
        <v>7.08</v>
      </c>
      <c r="P392" t="s">
        <v>83</v>
      </c>
      <c r="Q392" t="s">
        <v>92</v>
      </c>
      <c r="R392">
        <v>2019</v>
      </c>
      <c r="S392">
        <f>IF(AND(HR_Employees[[#This Row],[Attrition]]="YES",HR_Employees[[#This Row],[Exit_Date]]&lt;&gt;""),YEAR(HR_Employees[[#This Row],[Exit_Date]]),"")</f>
        <v>2021</v>
      </c>
    </row>
    <row r="393" spans="1:19">
      <c r="A393" t="s">
        <v>713</v>
      </c>
      <c r="B393" t="s">
        <v>714</v>
      </c>
      <c r="C393">
        <v>36</v>
      </c>
      <c r="D393" t="s">
        <v>61</v>
      </c>
      <c r="E393" t="s">
        <v>21</v>
      </c>
      <c r="F393" t="s">
        <v>22</v>
      </c>
      <c r="G393" t="s">
        <v>114</v>
      </c>
      <c r="H393" s="2">
        <v>46247</v>
      </c>
      <c r="I393" s="2" t="str">
        <f>IFERROR(VLOOKUP(HR_Employees[[#This Row],[Employee_ID]],'[1]Synthetic Exit Data'!$A$2:$E$235,4,0)," NA")</f>
        <v xml:space="preserve"> NA</v>
      </c>
      <c r="J393" t="s">
        <v>24</v>
      </c>
      <c r="K393">
        <v>5</v>
      </c>
      <c r="L393" s="3">
        <v>74454</v>
      </c>
      <c r="M393" t="s">
        <v>34</v>
      </c>
      <c r="N393" t="s">
        <v>43</v>
      </c>
      <c r="O393">
        <v>0.17</v>
      </c>
      <c r="P393" t="s">
        <v>57</v>
      </c>
      <c r="Q393" t="s">
        <v>28</v>
      </c>
      <c r="R393">
        <v>2026</v>
      </c>
      <c r="S393" t="str">
        <f>IF(AND(HR_Employees[[#This Row],[Attrition]]="YES",HR_Employees[[#This Row],[Exit_Date]]&lt;&gt;""),YEAR(HR_Employees[[#This Row],[Exit_Date]]),"")</f>
        <v/>
      </c>
    </row>
    <row r="394" spans="1:19">
      <c r="A394" t="s">
        <v>715</v>
      </c>
      <c r="B394" t="s">
        <v>716</v>
      </c>
      <c r="C394">
        <v>27</v>
      </c>
      <c r="D394" t="s">
        <v>31</v>
      </c>
      <c r="E394" t="s">
        <v>32</v>
      </c>
      <c r="F394" t="s">
        <v>22</v>
      </c>
      <c r="G394" t="s">
        <v>33</v>
      </c>
      <c r="H394" s="2">
        <v>42838</v>
      </c>
      <c r="I394" s="2" t="str">
        <f>IFERROR(VLOOKUP(HR_Employees[[#This Row],[Employee_ID]],'[1]Synthetic Exit Data'!$A$2:$E$235,4,0)," NA")</f>
        <v xml:space="preserve"> NA</v>
      </c>
      <c r="J394" t="s">
        <v>24</v>
      </c>
      <c r="K394">
        <v>5</v>
      </c>
      <c r="L394" s="3">
        <v>72636</v>
      </c>
      <c r="M394" t="s">
        <v>34</v>
      </c>
      <c r="N394" t="s">
        <v>79</v>
      </c>
      <c r="O394">
        <v>9.5</v>
      </c>
      <c r="P394" t="s">
        <v>35</v>
      </c>
      <c r="Q394" t="s">
        <v>28</v>
      </c>
      <c r="R394">
        <v>2017</v>
      </c>
      <c r="S394" t="str">
        <f>IF(AND(HR_Employees[[#This Row],[Attrition]]="YES",HR_Employees[[#This Row],[Exit_Date]]&lt;&gt;""),YEAR(HR_Employees[[#This Row],[Exit_Date]]),"")</f>
        <v/>
      </c>
    </row>
    <row r="395" spans="1:19">
      <c r="A395" t="s">
        <v>717</v>
      </c>
      <c r="B395" t="s">
        <v>503</v>
      </c>
      <c r="C395">
        <v>30</v>
      </c>
      <c r="D395" t="s">
        <v>31</v>
      </c>
      <c r="E395" t="s">
        <v>32</v>
      </c>
      <c r="F395" t="s">
        <v>73</v>
      </c>
      <c r="G395" t="s">
        <v>33</v>
      </c>
      <c r="H395" s="2">
        <v>44908</v>
      </c>
      <c r="I395" s="2" t="str">
        <f>IFERROR(VLOOKUP(HR_Employees[[#This Row],[Employee_ID]],'[1]Synthetic Exit Data'!$A$2:$E$235,4,0)," NA")</f>
        <v xml:space="preserve"> NA</v>
      </c>
      <c r="J395" t="s">
        <v>24</v>
      </c>
      <c r="K395">
        <v>4</v>
      </c>
      <c r="L395" s="3">
        <v>115231</v>
      </c>
      <c r="M395" t="s">
        <v>25</v>
      </c>
      <c r="N395" t="s">
        <v>50</v>
      </c>
      <c r="O395">
        <v>3.83</v>
      </c>
      <c r="P395" t="s">
        <v>35</v>
      </c>
      <c r="Q395" t="s">
        <v>92</v>
      </c>
      <c r="R395">
        <v>2022</v>
      </c>
      <c r="S395" t="str">
        <f>IF(AND(HR_Employees[[#This Row],[Attrition]]="YES",HR_Employees[[#This Row],[Exit_Date]]&lt;&gt;""),YEAR(HR_Employees[[#This Row],[Exit_Date]]),"")</f>
        <v/>
      </c>
    </row>
    <row r="396" spans="1:19">
      <c r="A396" t="s">
        <v>718</v>
      </c>
      <c r="B396" t="s">
        <v>673</v>
      </c>
      <c r="C396">
        <v>23</v>
      </c>
      <c r="D396" t="s">
        <v>39</v>
      </c>
      <c r="E396" t="s">
        <v>21</v>
      </c>
      <c r="F396" t="s">
        <v>22</v>
      </c>
      <c r="G396" t="s">
        <v>41</v>
      </c>
      <c r="H396" s="2">
        <v>44605</v>
      </c>
      <c r="I396" s="2" t="str">
        <f>IFERROR(VLOOKUP(HR_Employees[[#This Row],[Employee_ID]],'[1]Synthetic Exit Data'!$A$2:$E$235,4,0)," NA")</f>
        <v xml:space="preserve"> NA</v>
      </c>
      <c r="J396" t="s">
        <v>24</v>
      </c>
      <c r="K396">
        <v>4</v>
      </c>
      <c r="L396" s="3">
        <v>98723</v>
      </c>
      <c r="M396" t="s">
        <v>66</v>
      </c>
      <c r="N396" t="s">
        <v>50</v>
      </c>
      <c r="O396">
        <v>4.67</v>
      </c>
      <c r="P396" t="s">
        <v>27</v>
      </c>
      <c r="Q396" t="s">
        <v>76</v>
      </c>
      <c r="R396">
        <v>2022</v>
      </c>
      <c r="S396" t="str">
        <f>IF(AND(HR_Employees[[#This Row],[Attrition]]="YES",HR_Employees[[#This Row],[Exit_Date]]&lt;&gt;""),YEAR(HR_Employees[[#This Row],[Exit_Date]]),"")</f>
        <v/>
      </c>
    </row>
    <row r="397" spans="1:19">
      <c r="A397" t="s">
        <v>719</v>
      </c>
      <c r="B397" t="s">
        <v>720</v>
      </c>
      <c r="C397">
        <v>42</v>
      </c>
      <c r="D397" t="s">
        <v>61</v>
      </c>
      <c r="E397" t="s">
        <v>32</v>
      </c>
      <c r="F397" t="s">
        <v>55</v>
      </c>
      <c r="G397" t="s">
        <v>33</v>
      </c>
      <c r="H397" s="2">
        <v>46018</v>
      </c>
      <c r="I397" s="2" t="str">
        <f>IFERROR(VLOOKUP(HR_Employees[[#This Row],[Employee_ID]],'[1]Synthetic Exit Data'!$A$2:$E$235,4,0)," NA")</f>
        <v>2025-12-31</v>
      </c>
      <c r="J397" t="s">
        <v>49</v>
      </c>
      <c r="K397">
        <v>4</v>
      </c>
      <c r="L397" s="3">
        <v>89291</v>
      </c>
      <c r="M397" t="s">
        <v>66</v>
      </c>
      <c r="N397" t="s">
        <v>43</v>
      </c>
      <c r="O397">
        <v>0.67</v>
      </c>
      <c r="P397" t="s">
        <v>57</v>
      </c>
      <c r="Q397" t="s">
        <v>36</v>
      </c>
      <c r="R397">
        <v>2025</v>
      </c>
      <c r="S397">
        <f>IF(AND(HR_Employees[[#This Row],[Attrition]]="YES",HR_Employees[[#This Row],[Exit_Date]]&lt;&gt;""),YEAR(HR_Employees[[#This Row],[Exit_Date]]),"")</f>
        <v>2025</v>
      </c>
    </row>
    <row r="398" spans="1:19">
      <c r="A398" t="s">
        <v>721</v>
      </c>
      <c r="B398" t="s">
        <v>722</v>
      </c>
      <c r="C398">
        <v>23</v>
      </c>
      <c r="D398" t="s">
        <v>39</v>
      </c>
      <c r="E398" t="s">
        <v>21</v>
      </c>
      <c r="F398" t="s">
        <v>151</v>
      </c>
      <c r="G398" t="s">
        <v>48</v>
      </c>
      <c r="H398" s="2">
        <v>43517</v>
      </c>
      <c r="I398" s="2" t="str">
        <f>IFERROR(VLOOKUP(HR_Employees[[#This Row],[Employee_ID]],'[1]Synthetic Exit Data'!$A$2:$E$235,4,0)," NA")</f>
        <v>2020-10-08</v>
      </c>
      <c r="J398" t="s">
        <v>49</v>
      </c>
      <c r="K398">
        <v>3</v>
      </c>
      <c r="L398" s="3">
        <v>130497</v>
      </c>
      <c r="M398" t="s">
        <v>25</v>
      </c>
      <c r="N398" t="s">
        <v>79</v>
      </c>
      <c r="O398">
        <v>7.5</v>
      </c>
      <c r="P398" t="s">
        <v>125</v>
      </c>
      <c r="Q398" t="s">
        <v>86</v>
      </c>
      <c r="R398">
        <v>2019</v>
      </c>
      <c r="S398">
        <f>IF(AND(HR_Employees[[#This Row],[Attrition]]="YES",HR_Employees[[#This Row],[Exit_Date]]&lt;&gt;""),YEAR(HR_Employees[[#This Row],[Exit_Date]]),"")</f>
        <v>2020</v>
      </c>
    </row>
    <row r="399" spans="1:19">
      <c r="A399" t="s">
        <v>723</v>
      </c>
      <c r="B399" t="s">
        <v>724</v>
      </c>
      <c r="C399">
        <v>21</v>
      </c>
      <c r="D399" t="s">
        <v>39</v>
      </c>
      <c r="E399" t="s">
        <v>21</v>
      </c>
      <c r="F399" t="s">
        <v>151</v>
      </c>
      <c r="G399" t="s">
        <v>23</v>
      </c>
      <c r="H399" s="2">
        <v>46179</v>
      </c>
      <c r="I399" s="2" t="str">
        <f>IFERROR(VLOOKUP(HR_Employees[[#This Row],[Employee_ID]],'[1]Synthetic Exit Data'!$A$2:$E$235,4,0)," NA")</f>
        <v>2026-09-06</v>
      </c>
      <c r="J399" t="s">
        <v>49</v>
      </c>
      <c r="K399">
        <v>2</v>
      </c>
      <c r="L399" s="3">
        <v>98408</v>
      </c>
      <c r="M399" t="s">
        <v>66</v>
      </c>
      <c r="N399" t="s">
        <v>43</v>
      </c>
      <c r="O399">
        <v>0.25</v>
      </c>
      <c r="P399" t="s">
        <v>125</v>
      </c>
      <c r="Q399" t="s">
        <v>44</v>
      </c>
      <c r="R399">
        <v>2026</v>
      </c>
      <c r="S399">
        <f>IF(AND(HR_Employees[[#This Row],[Attrition]]="YES",HR_Employees[[#This Row],[Exit_Date]]&lt;&gt;""),YEAR(HR_Employees[[#This Row],[Exit_Date]]),"")</f>
        <v>2026</v>
      </c>
    </row>
    <row r="400" spans="1:19">
      <c r="A400" t="s">
        <v>725</v>
      </c>
      <c r="B400" t="s">
        <v>726</v>
      </c>
      <c r="C400">
        <v>46</v>
      </c>
      <c r="D400" t="s">
        <v>20</v>
      </c>
      <c r="E400" t="s">
        <v>32</v>
      </c>
      <c r="F400" t="s">
        <v>47</v>
      </c>
      <c r="G400" t="s">
        <v>33</v>
      </c>
      <c r="H400" s="2">
        <v>45604</v>
      </c>
      <c r="I400" s="2" t="str">
        <f>IFERROR(VLOOKUP(HR_Employees[[#This Row],[Employee_ID]],'[1]Synthetic Exit Data'!$A$2:$E$235,4,0)," NA")</f>
        <v>2024-11-18</v>
      </c>
      <c r="J400" t="s">
        <v>49</v>
      </c>
      <c r="K400">
        <v>3</v>
      </c>
      <c r="L400" s="3">
        <v>50803</v>
      </c>
      <c r="M400" t="s">
        <v>34</v>
      </c>
      <c r="N400" t="s">
        <v>56</v>
      </c>
      <c r="O400">
        <v>1.75</v>
      </c>
      <c r="P400" t="s">
        <v>27</v>
      </c>
      <c r="Q400" t="s">
        <v>28</v>
      </c>
      <c r="R400">
        <v>2024</v>
      </c>
      <c r="S400">
        <f>IF(AND(HR_Employees[[#This Row],[Attrition]]="YES",HR_Employees[[#This Row],[Exit_Date]]&lt;&gt;""),YEAR(HR_Employees[[#This Row],[Exit_Date]]),"")</f>
        <v>2024</v>
      </c>
    </row>
    <row r="401" spans="1:19">
      <c r="A401" t="s">
        <v>727</v>
      </c>
      <c r="B401" t="s">
        <v>150</v>
      </c>
      <c r="C401">
        <v>35</v>
      </c>
      <c r="D401" t="s">
        <v>31</v>
      </c>
      <c r="E401" t="s">
        <v>32</v>
      </c>
      <c r="F401" t="s">
        <v>22</v>
      </c>
      <c r="G401" t="s">
        <v>23</v>
      </c>
      <c r="H401" s="2">
        <v>45222</v>
      </c>
      <c r="I401" s="2" t="str">
        <f>IFERROR(VLOOKUP(HR_Employees[[#This Row],[Employee_ID]],'[1]Synthetic Exit Data'!$A$2:$E$235,4,0)," NA")</f>
        <v>2023-12-31</v>
      </c>
      <c r="J401" t="s">
        <v>49</v>
      </c>
      <c r="K401">
        <v>3</v>
      </c>
      <c r="L401" s="3">
        <v>92004</v>
      </c>
      <c r="M401" t="s">
        <v>66</v>
      </c>
      <c r="N401" t="s">
        <v>56</v>
      </c>
      <c r="O401">
        <v>2.83</v>
      </c>
      <c r="P401" t="s">
        <v>57</v>
      </c>
      <c r="Q401" t="s">
        <v>92</v>
      </c>
      <c r="R401">
        <v>2023</v>
      </c>
      <c r="S401">
        <f>IF(AND(HR_Employees[[#This Row],[Attrition]]="YES",HR_Employees[[#This Row],[Exit_Date]]&lt;&gt;""),YEAR(HR_Employees[[#This Row],[Exit_Date]]),"")</f>
        <v>2023</v>
      </c>
    </row>
    <row r="402" spans="1:19">
      <c r="A402" t="s">
        <v>728</v>
      </c>
      <c r="B402" t="s">
        <v>179</v>
      </c>
      <c r="C402">
        <v>29</v>
      </c>
      <c r="D402" t="s">
        <v>31</v>
      </c>
      <c r="E402" t="s">
        <v>21</v>
      </c>
      <c r="F402" t="s">
        <v>47</v>
      </c>
      <c r="G402" t="s">
        <v>33</v>
      </c>
      <c r="H402" s="2">
        <v>43144</v>
      </c>
      <c r="I402" s="2" t="str">
        <f>IFERROR(VLOOKUP(HR_Employees[[#This Row],[Employee_ID]],'[1]Synthetic Exit Data'!$A$2:$E$235,4,0)," NA")</f>
        <v xml:space="preserve"> NA</v>
      </c>
      <c r="J402" t="s">
        <v>24</v>
      </c>
      <c r="K402">
        <v>4</v>
      </c>
      <c r="L402" s="3">
        <v>88012</v>
      </c>
      <c r="M402" t="s">
        <v>66</v>
      </c>
      <c r="N402" t="s">
        <v>79</v>
      </c>
      <c r="O402">
        <v>8.67</v>
      </c>
      <c r="P402" t="s">
        <v>125</v>
      </c>
      <c r="Q402" t="s">
        <v>92</v>
      </c>
      <c r="R402">
        <v>2018</v>
      </c>
      <c r="S402" t="str">
        <f>IF(AND(HR_Employees[[#This Row],[Attrition]]="YES",HR_Employees[[#This Row],[Exit_Date]]&lt;&gt;""),YEAR(HR_Employees[[#This Row],[Exit_Date]]),"")</f>
        <v/>
      </c>
    </row>
    <row r="403" spans="1:19">
      <c r="A403" t="s">
        <v>729</v>
      </c>
      <c r="B403" t="s">
        <v>730</v>
      </c>
      <c r="C403">
        <v>52</v>
      </c>
      <c r="D403" t="s">
        <v>20</v>
      </c>
      <c r="E403" t="s">
        <v>21</v>
      </c>
      <c r="F403" t="s">
        <v>73</v>
      </c>
      <c r="G403" t="s">
        <v>48</v>
      </c>
      <c r="H403" s="2">
        <v>41831</v>
      </c>
      <c r="I403" s="2" t="str">
        <f>IFERROR(VLOOKUP(HR_Employees[[#This Row],[Employee_ID]],'[1]Synthetic Exit Data'!$A$2:$E$235,4,0)," NA")</f>
        <v>2018-08-22</v>
      </c>
      <c r="J403" t="s">
        <v>49</v>
      </c>
      <c r="K403">
        <v>1</v>
      </c>
      <c r="L403" s="3">
        <v>20324</v>
      </c>
      <c r="M403" t="s">
        <v>82</v>
      </c>
      <c r="N403" t="s">
        <v>26</v>
      </c>
      <c r="O403">
        <v>12.25</v>
      </c>
      <c r="P403" t="s">
        <v>35</v>
      </c>
      <c r="Q403" t="s">
        <v>62</v>
      </c>
      <c r="R403">
        <v>2014</v>
      </c>
      <c r="S403">
        <f>IF(AND(HR_Employees[[#This Row],[Attrition]]="YES",HR_Employees[[#This Row],[Exit_Date]]&lt;&gt;""),YEAR(HR_Employees[[#This Row],[Exit_Date]]),"")</f>
        <v>2018</v>
      </c>
    </row>
    <row r="404" spans="1:19">
      <c r="A404" t="s">
        <v>731</v>
      </c>
      <c r="B404" t="s">
        <v>732</v>
      </c>
      <c r="C404">
        <v>23</v>
      </c>
      <c r="D404" t="s">
        <v>39</v>
      </c>
      <c r="E404" t="s">
        <v>32</v>
      </c>
      <c r="F404" t="s">
        <v>55</v>
      </c>
      <c r="G404" t="s">
        <v>33</v>
      </c>
      <c r="H404" s="2">
        <v>42039</v>
      </c>
      <c r="I404" s="2" t="str">
        <f>IFERROR(VLOOKUP(HR_Employees[[#This Row],[Employee_ID]],'[1]Synthetic Exit Data'!$A$2:$E$235,4,0)," NA")</f>
        <v>2017-05-30</v>
      </c>
      <c r="J404" t="s">
        <v>49</v>
      </c>
      <c r="K404">
        <v>4</v>
      </c>
      <c r="L404" s="3">
        <v>35139</v>
      </c>
      <c r="M404" t="s">
        <v>42</v>
      </c>
      <c r="N404" t="s">
        <v>26</v>
      </c>
      <c r="O404">
        <v>11.67</v>
      </c>
      <c r="P404" t="s">
        <v>125</v>
      </c>
      <c r="Q404" t="s">
        <v>92</v>
      </c>
      <c r="R404">
        <v>2015</v>
      </c>
      <c r="S404">
        <f>IF(AND(HR_Employees[[#This Row],[Attrition]]="YES",HR_Employees[[#This Row],[Exit_Date]]&lt;&gt;""),YEAR(HR_Employees[[#This Row],[Exit_Date]]),"")</f>
        <v>2017</v>
      </c>
    </row>
    <row r="405" spans="1:19">
      <c r="A405" t="s">
        <v>733</v>
      </c>
      <c r="B405" t="s">
        <v>298</v>
      </c>
      <c r="C405">
        <v>53</v>
      </c>
      <c r="D405" t="s">
        <v>20</v>
      </c>
      <c r="E405" t="s">
        <v>21</v>
      </c>
      <c r="F405" t="s">
        <v>109</v>
      </c>
      <c r="G405" t="s">
        <v>33</v>
      </c>
      <c r="H405" s="2">
        <v>45578</v>
      </c>
      <c r="I405" s="2" t="str">
        <f>IFERROR(VLOOKUP(HR_Employees[[#This Row],[Employee_ID]],'[1]Synthetic Exit Data'!$A$2:$E$235,4,0)," NA")</f>
        <v xml:space="preserve"> NA</v>
      </c>
      <c r="J405" t="s">
        <v>24</v>
      </c>
      <c r="K405">
        <v>4</v>
      </c>
      <c r="L405" s="3">
        <v>18149</v>
      </c>
      <c r="M405" t="s">
        <v>82</v>
      </c>
      <c r="N405" t="s">
        <v>56</v>
      </c>
      <c r="O405">
        <v>2</v>
      </c>
      <c r="P405" t="s">
        <v>51</v>
      </c>
      <c r="Q405" t="s">
        <v>36</v>
      </c>
      <c r="R405">
        <v>2024</v>
      </c>
      <c r="S405" t="str">
        <f>IF(AND(HR_Employees[[#This Row],[Attrition]]="YES",HR_Employees[[#This Row],[Exit_Date]]&lt;&gt;""),YEAR(HR_Employees[[#This Row],[Exit_Date]]),"")</f>
        <v/>
      </c>
    </row>
    <row r="406" spans="1:19">
      <c r="A406" t="s">
        <v>734</v>
      </c>
      <c r="B406" t="s">
        <v>735</v>
      </c>
      <c r="C406">
        <v>37</v>
      </c>
      <c r="D406" t="s">
        <v>61</v>
      </c>
      <c r="E406" t="s">
        <v>32</v>
      </c>
      <c r="F406" t="s">
        <v>65</v>
      </c>
      <c r="G406" t="s">
        <v>23</v>
      </c>
      <c r="H406" s="2">
        <v>42321</v>
      </c>
      <c r="I406" s="2" t="str">
        <f>IFERROR(VLOOKUP(HR_Employees[[#This Row],[Employee_ID]],'[1]Synthetic Exit Data'!$A$2:$E$235,4,0)," NA")</f>
        <v xml:space="preserve"> NA</v>
      </c>
      <c r="J406" t="s">
        <v>24</v>
      </c>
      <c r="K406">
        <v>4</v>
      </c>
      <c r="L406" s="3">
        <v>34374</v>
      </c>
      <c r="M406" t="s">
        <v>42</v>
      </c>
      <c r="N406" t="s">
        <v>26</v>
      </c>
      <c r="O406">
        <v>10.92</v>
      </c>
      <c r="P406" t="s">
        <v>27</v>
      </c>
      <c r="Q406" t="s">
        <v>44</v>
      </c>
      <c r="R406">
        <v>2015</v>
      </c>
      <c r="S406" t="str">
        <f>IF(AND(HR_Employees[[#This Row],[Attrition]]="YES",HR_Employees[[#This Row],[Exit_Date]]&lt;&gt;""),YEAR(HR_Employees[[#This Row],[Exit_Date]]),"")</f>
        <v/>
      </c>
    </row>
    <row r="407" spans="1:19">
      <c r="A407" t="s">
        <v>736</v>
      </c>
      <c r="B407" t="s">
        <v>344</v>
      </c>
      <c r="C407">
        <v>23</v>
      </c>
      <c r="D407" t="s">
        <v>39</v>
      </c>
      <c r="E407" t="s">
        <v>21</v>
      </c>
      <c r="F407" t="s">
        <v>40</v>
      </c>
      <c r="G407" t="s">
        <v>114</v>
      </c>
      <c r="H407" s="2">
        <v>44268</v>
      </c>
      <c r="I407" s="2" t="str">
        <f>IFERROR(VLOOKUP(HR_Employees[[#This Row],[Employee_ID]],'[1]Synthetic Exit Data'!$A$2:$E$235,4,0)," NA")</f>
        <v xml:space="preserve"> NA</v>
      </c>
      <c r="J407" t="s">
        <v>24</v>
      </c>
      <c r="K407">
        <v>3</v>
      </c>
      <c r="L407" s="3">
        <v>37157</v>
      </c>
      <c r="M407" t="s">
        <v>42</v>
      </c>
      <c r="N407" t="s">
        <v>79</v>
      </c>
      <c r="O407">
        <v>5.58</v>
      </c>
      <c r="P407" t="s">
        <v>35</v>
      </c>
      <c r="Q407" t="s">
        <v>92</v>
      </c>
      <c r="R407">
        <v>2021</v>
      </c>
      <c r="S407" t="str">
        <f>IF(AND(HR_Employees[[#This Row],[Attrition]]="YES",HR_Employees[[#This Row],[Exit_Date]]&lt;&gt;""),YEAR(HR_Employees[[#This Row],[Exit_Date]]),"")</f>
        <v/>
      </c>
    </row>
    <row r="408" spans="1:19">
      <c r="A408" t="s">
        <v>737</v>
      </c>
      <c r="B408" t="s">
        <v>630</v>
      </c>
      <c r="C408">
        <v>26</v>
      </c>
      <c r="D408" t="s">
        <v>31</v>
      </c>
      <c r="E408" t="s">
        <v>21</v>
      </c>
      <c r="F408" t="s">
        <v>40</v>
      </c>
      <c r="G408" t="s">
        <v>41</v>
      </c>
      <c r="H408" s="2">
        <v>44939</v>
      </c>
      <c r="I408" s="2" t="str">
        <f>IFERROR(VLOOKUP(HR_Employees[[#This Row],[Employee_ID]],'[1]Synthetic Exit Data'!$A$2:$E$235,4,0)," NA")</f>
        <v xml:space="preserve"> NA</v>
      </c>
      <c r="J408" t="s">
        <v>24</v>
      </c>
      <c r="K408">
        <v>2</v>
      </c>
      <c r="L408" s="3">
        <v>33413</v>
      </c>
      <c r="M408" t="s">
        <v>42</v>
      </c>
      <c r="N408" t="s">
        <v>50</v>
      </c>
      <c r="O408">
        <v>3.75</v>
      </c>
      <c r="P408" t="s">
        <v>125</v>
      </c>
      <c r="Q408" t="s">
        <v>92</v>
      </c>
      <c r="R408">
        <v>2023</v>
      </c>
      <c r="S408" t="str">
        <f>IF(AND(HR_Employees[[#This Row],[Attrition]]="YES",HR_Employees[[#This Row],[Exit_Date]]&lt;&gt;""),YEAR(HR_Employees[[#This Row],[Exit_Date]]),"")</f>
        <v/>
      </c>
    </row>
    <row r="409" spans="1:19">
      <c r="A409" t="s">
        <v>738</v>
      </c>
      <c r="B409" t="s">
        <v>739</v>
      </c>
      <c r="C409">
        <v>34</v>
      </c>
      <c r="D409" t="s">
        <v>31</v>
      </c>
      <c r="E409" t="s">
        <v>21</v>
      </c>
      <c r="F409" t="s">
        <v>55</v>
      </c>
      <c r="G409" t="s">
        <v>48</v>
      </c>
      <c r="H409" s="2">
        <v>45456</v>
      </c>
      <c r="I409" s="2" t="str">
        <f>IFERROR(VLOOKUP(HR_Employees[[#This Row],[Employee_ID]],'[1]Synthetic Exit Data'!$A$2:$E$235,4,0)," NA")</f>
        <v xml:space="preserve"> NA</v>
      </c>
      <c r="J409" t="s">
        <v>24</v>
      </c>
      <c r="K409">
        <v>4</v>
      </c>
      <c r="L409" s="3">
        <v>23478</v>
      </c>
      <c r="M409" t="s">
        <v>82</v>
      </c>
      <c r="N409" t="s">
        <v>56</v>
      </c>
      <c r="O409">
        <v>2.33</v>
      </c>
      <c r="P409" t="s">
        <v>57</v>
      </c>
      <c r="Q409" t="s">
        <v>28</v>
      </c>
      <c r="R409">
        <v>2024</v>
      </c>
      <c r="S409" t="str">
        <f>IF(AND(HR_Employees[[#This Row],[Attrition]]="YES",HR_Employees[[#This Row],[Exit_Date]]&lt;&gt;""),YEAR(HR_Employees[[#This Row],[Exit_Date]]),"")</f>
        <v/>
      </c>
    </row>
    <row r="410" spans="1:19">
      <c r="A410" t="s">
        <v>740</v>
      </c>
      <c r="B410" t="s">
        <v>38</v>
      </c>
      <c r="C410">
        <v>54</v>
      </c>
      <c r="D410" t="s">
        <v>20</v>
      </c>
      <c r="E410" t="s">
        <v>21</v>
      </c>
      <c r="F410" t="s">
        <v>22</v>
      </c>
      <c r="G410" t="s">
        <v>114</v>
      </c>
      <c r="H410" s="2">
        <v>44664</v>
      </c>
      <c r="I410" s="2" t="str">
        <f>IFERROR(VLOOKUP(HR_Employees[[#This Row],[Employee_ID]],'[1]Synthetic Exit Data'!$A$2:$E$235,4,0)," NA")</f>
        <v xml:space="preserve"> NA</v>
      </c>
      <c r="J410" t="s">
        <v>24</v>
      </c>
      <c r="K410">
        <v>4</v>
      </c>
      <c r="L410" s="3">
        <v>68053</v>
      </c>
      <c r="M410" t="s">
        <v>34</v>
      </c>
      <c r="N410" t="s">
        <v>50</v>
      </c>
      <c r="O410">
        <v>4.5</v>
      </c>
      <c r="P410" t="s">
        <v>125</v>
      </c>
      <c r="Q410" t="s">
        <v>86</v>
      </c>
      <c r="R410">
        <v>2022</v>
      </c>
      <c r="S410" t="str">
        <f>IF(AND(HR_Employees[[#This Row],[Attrition]]="YES",HR_Employees[[#This Row],[Exit_Date]]&lt;&gt;""),YEAR(HR_Employees[[#This Row],[Exit_Date]]),"")</f>
        <v/>
      </c>
    </row>
    <row r="411" spans="1:19">
      <c r="A411" t="s">
        <v>741</v>
      </c>
      <c r="B411" t="s">
        <v>742</v>
      </c>
      <c r="C411">
        <v>38</v>
      </c>
      <c r="D411" t="s">
        <v>61</v>
      </c>
      <c r="E411" t="s">
        <v>32</v>
      </c>
      <c r="F411" t="s">
        <v>109</v>
      </c>
      <c r="G411" t="s">
        <v>41</v>
      </c>
      <c r="H411" s="2">
        <v>43233</v>
      </c>
      <c r="I411" s="2" t="str">
        <f>IFERROR(VLOOKUP(HR_Employees[[#This Row],[Employee_ID]],'[1]Synthetic Exit Data'!$A$2:$E$235,4,0)," NA")</f>
        <v xml:space="preserve"> NA</v>
      </c>
      <c r="J411" t="s">
        <v>24</v>
      </c>
      <c r="K411">
        <v>3</v>
      </c>
      <c r="L411" s="3">
        <v>82829</v>
      </c>
      <c r="M411" t="s">
        <v>66</v>
      </c>
      <c r="N411" t="s">
        <v>79</v>
      </c>
      <c r="O411">
        <v>8.42</v>
      </c>
      <c r="P411" t="s">
        <v>35</v>
      </c>
      <c r="Q411" t="s">
        <v>92</v>
      </c>
      <c r="R411">
        <v>2018</v>
      </c>
      <c r="S411" t="str">
        <f>IF(AND(HR_Employees[[#This Row],[Attrition]]="YES",HR_Employees[[#This Row],[Exit_Date]]&lt;&gt;""),YEAR(HR_Employees[[#This Row],[Exit_Date]]),"")</f>
        <v/>
      </c>
    </row>
    <row r="412" spans="1:19">
      <c r="A412" t="s">
        <v>743</v>
      </c>
      <c r="B412" t="s">
        <v>138</v>
      </c>
      <c r="C412">
        <v>53</v>
      </c>
      <c r="D412" t="s">
        <v>20</v>
      </c>
      <c r="E412" t="s">
        <v>21</v>
      </c>
      <c r="F412" t="s">
        <v>40</v>
      </c>
      <c r="G412" t="s">
        <v>23</v>
      </c>
      <c r="H412" s="2">
        <v>45335</v>
      </c>
      <c r="I412" s="2" t="str">
        <f>IFERROR(VLOOKUP(HR_Employees[[#This Row],[Employee_ID]],'[1]Synthetic Exit Data'!$A$2:$E$235,4,0)," NA")</f>
        <v xml:space="preserve"> NA</v>
      </c>
      <c r="J412" t="s">
        <v>24</v>
      </c>
      <c r="K412">
        <v>4</v>
      </c>
      <c r="L412" s="3">
        <v>129365</v>
      </c>
      <c r="M412" t="s">
        <v>25</v>
      </c>
      <c r="N412" t="s">
        <v>56</v>
      </c>
      <c r="O412">
        <v>2.67</v>
      </c>
      <c r="P412" t="s">
        <v>27</v>
      </c>
      <c r="Q412" t="s">
        <v>28</v>
      </c>
      <c r="R412">
        <v>2024</v>
      </c>
      <c r="S412" t="str">
        <f>IF(AND(HR_Employees[[#This Row],[Attrition]]="YES",HR_Employees[[#This Row],[Exit_Date]]&lt;&gt;""),YEAR(HR_Employees[[#This Row],[Exit_Date]]),"")</f>
        <v/>
      </c>
    </row>
    <row r="413" spans="1:19">
      <c r="A413" t="s">
        <v>744</v>
      </c>
      <c r="B413" t="s">
        <v>614</v>
      </c>
      <c r="C413">
        <v>41</v>
      </c>
      <c r="D413" t="s">
        <v>61</v>
      </c>
      <c r="E413" t="s">
        <v>21</v>
      </c>
      <c r="F413" t="s">
        <v>151</v>
      </c>
      <c r="G413" t="s">
        <v>48</v>
      </c>
      <c r="H413" s="2">
        <v>43867</v>
      </c>
      <c r="I413" s="2" t="str">
        <f>IFERROR(VLOOKUP(HR_Employees[[#This Row],[Employee_ID]],'[1]Synthetic Exit Data'!$A$2:$E$235,4,0)," NA")</f>
        <v>2021-12-13</v>
      </c>
      <c r="J413" t="s">
        <v>49</v>
      </c>
      <c r="K413">
        <v>4</v>
      </c>
      <c r="L413" s="3">
        <v>54484</v>
      </c>
      <c r="M413" t="s">
        <v>34</v>
      </c>
      <c r="N413" t="s">
        <v>79</v>
      </c>
      <c r="O413">
        <v>6.5</v>
      </c>
      <c r="P413" t="s">
        <v>27</v>
      </c>
      <c r="Q413" t="s">
        <v>62</v>
      </c>
      <c r="R413">
        <v>2020</v>
      </c>
      <c r="S413">
        <f>IF(AND(HR_Employees[[#This Row],[Attrition]]="YES",HR_Employees[[#This Row],[Exit_Date]]&lt;&gt;""),YEAR(HR_Employees[[#This Row],[Exit_Date]]),"")</f>
        <v>2021</v>
      </c>
    </row>
    <row r="414" spans="1:19">
      <c r="A414" t="s">
        <v>745</v>
      </c>
      <c r="B414" t="s">
        <v>307</v>
      </c>
      <c r="C414">
        <v>34</v>
      </c>
      <c r="D414" t="s">
        <v>31</v>
      </c>
      <c r="E414" t="s">
        <v>32</v>
      </c>
      <c r="F414" t="s">
        <v>73</v>
      </c>
      <c r="G414" t="s">
        <v>23</v>
      </c>
      <c r="H414" s="2">
        <v>46062</v>
      </c>
      <c r="I414" s="2" t="str">
        <f>IFERROR(VLOOKUP(HR_Employees[[#This Row],[Employee_ID]],'[1]Synthetic Exit Data'!$A$2:$E$235,4,0)," NA")</f>
        <v>2026-02-17</v>
      </c>
      <c r="J414" t="s">
        <v>49</v>
      </c>
      <c r="K414">
        <v>5</v>
      </c>
      <c r="L414" s="3">
        <v>79111</v>
      </c>
      <c r="M414" t="s">
        <v>66</v>
      </c>
      <c r="N414" t="s">
        <v>43</v>
      </c>
      <c r="O414">
        <v>0.67</v>
      </c>
      <c r="P414" t="s">
        <v>51</v>
      </c>
      <c r="Q414" t="s">
        <v>28</v>
      </c>
      <c r="R414">
        <v>2026</v>
      </c>
      <c r="S414">
        <f>IF(AND(HR_Employees[[#This Row],[Attrition]]="YES",HR_Employees[[#This Row],[Exit_Date]]&lt;&gt;""),YEAR(HR_Employees[[#This Row],[Exit_Date]]),"")</f>
        <v>2026</v>
      </c>
    </row>
    <row r="415" spans="1:19">
      <c r="A415" t="s">
        <v>746</v>
      </c>
      <c r="B415" t="s">
        <v>624</v>
      </c>
      <c r="C415">
        <v>53</v>
      </c>
      <c r="D415" t="s">
        <v>20</v>
      </c>
      <c r="E415" t="s">
        <v>32</v>
      </c>
      <c r="F415" t="s">
        <v>40</v>
      </c>
      <c r="G415" t="s">
        <v>114</v>
      </c>
      <c r="H415" s="2">
        <v>43233</v>
      </c>
      <c r="I415" s="2" t="str">
        <f>IFERROR(VLOOKUP(HR_Employees[[#This Row],[Employee_ID]],'[1]Synthetic Exit Data'!$A$2:$E$235,4,0)," NA")</f>
        <v xml:space="preserve"> NA</v>
      </c>
      <c r="J415" t="s">
        <v>24</v>
      </c>
      <c r="K415">
        <v>2</v>
      </c>
      <c r="L415" s="3">
        <v>89404</v>
      </c>
      <c r="M415" t="s">
        <v>66</v>
      </c>
      <c r="N415" t="s">
        <v>79</v>
      </c>
      <c r="O415">
        <v>8.42</v>
      </c>
      <c r="P415" t="s">
        <v>57</v>
      </c>
      <c r="Q415" t="s">
        <v>62</v>
      </c>
      <c r="R415">
        <v>2018</v>
      </c>
      <c r="S415" t="str">
        <f>IF(AND(HR_Employees[[#This Row],[Attrition]]="YES",HR_Employees[[#This Row],[Exit_Date]]&lt;&gt;""),YEAR(HR_Employees[[#This Row],[Exit_Date]]),"")</f>
        <v/>
      </c>
    </row>
    <row r="416" spans="1:19">
      <c r="A416" t="s">
        <v>747</v>
      </c>
      <c r="B416" t="s">
        <v>292</v>
      </c>
      <c r="C416">
        <v>31</v>
      </c>
      <c r="D416" t="s">
        <v>31</v>
      </c>
      <c r="E416" t="s">
        <v>21</v>
      </c>
      <c r="F416" t="s">
        <v>22</v>
      </c>
      <c r="G416" t="s">
        <v>33</v>
      </c>
      <c r="H416" s="2">
        <v>42838</v>
      </c>
      <c r="I416" s="2" t="str">
        <f>IFERROR(VLOOKUP(HR_Employees[[#This Row],[Employee_ID]],'[1]Synthetic Exit Data'!$A$2:$E$235,4,0)," NA")</f>
        <v xml:space="preserve"> NA</v>
      </c>
      <c r="J416" t="s">
        <v>24</v>
      </c>
      <c r="K416">
        <v>4</v>
      </c>
      <c r="L416" s="3">
        <v>31464</v>
      </c>
      <c r="M416" t="s">
        <v>42</v>
      </c>
      <c r="N416" t="s">
        <v>79</v>
      </c>
      <c r="O416">
        <v>9.5</v>
      </c>
      <c r="P416" t="s">
        <v>51</v>
      </c>
      <c r="Q416" t="s">
        <v>28</v>
      </c>
      <c r="R416">
        <v>2017</v>
      </c>
      <c r="S416" t="str">
        <f>IF(AND(HR_Employees[[#This Row],[Attrition]]="YES",HR_Employees[[#This Row],[Exit_Date]]&lt;&gt;""),YEAR(HR_Employees[[#This Row],[Exit_Date]]),"")</f>
        <v/>
      </c>
    </row>
    <row r="417" spans="1:19">
      <c r="A417" t="s">
        <v>748</v>
      </c>
      <c r="B417" t="s">
        <v>749</v>
      </c>
      <c r="C417">
        <v>42</v>
      </c>
      <c r="D417" t="s">
        <v>61</v>
      </c>
      <c r="E417" t="s">
        <v>32</v>
      </c>
      <c r="F417" t="s">
        <v>40</v>
      </c>
      <c r="G417" t="s">
        <v>33</v>
      </c>
      <c r="H417" s="2">
        <v>45059</v>
      </c>
      <c r="I417" s="2" t="str">
        <f>IFERROR(VLOOKUP(HR_Employees[[#This Row],[Employee_ID]],'[1]Synthetic Exit Data'!$A$2:$E$235,4,0)," NA")</f>
        <v xml:space="preserve"> NA</v>
      </c>
      <c r="J417" t="s">
        <v>24</v>
      </c>
      <c r="K417">
        <v>4</v>
      </c>
      <c r="L417" s="3">
        <v>34237</v>
      </c>
      <c r="M417" t="s">
        <v>42</v>
      </c>
      <c r="N417" t="s">
        <v>50</v>
      </c>
      <c r="O417">
        <v>3.42</v>
      </c>
      <c r="P417" t="s">
        <v>51</v>
      </c>
      <c r="Q417" t="s">
        <v>58</v>
      </c>
      <c r="R417">
        <v>2023</v>
      </c>
      <c r="S417" t="str">
        <f>IF(AND(HR_Employees[[#This Row],[Attrition]]="YES",HR_Employees[[#This Row],[Exit_Date]]&lt;&gt;""),YEAR(HR_Employees[[#This Row],[Exit_Date]]),"")</f>
        <v/>
      </c>
    </row>
    <row r="418" spans="1:19">
      <c r="A418" t="s">
        <v>750</v>
      </c>
      <c r="B418" t="s">
        <v>94</v>
      </c>
      <c r="C418">
        <v>25</v>
      </c>
      <c r="D418" t="s">
        <v>39</v>
      </c>
      <c r="E418" t="s">
        <v>21</v>
      </c>
      <c r="F418" t="s">
        <v>40</v>
      </c>
      <c r="G418" t="s">
        <v>33</v>
      </c>
      <c r="H418" s="2">
        <v>42602</v>
      </c>
      <c r="I418" s="2" t="str">
        <f>IFERROR(VLOOKUP(HR_Employees[[#This Row],[Employee_ID]],'[1]Synthetic Exit Data'!$A$2:$E$235,4,0)," NA")</f>
        <v>2016-09-05</v>
      </c>
      <c r="J418" t="s">
        <v>49</v>
      </c>
      <c r="K418">
        <v>3</v>
      </c>
      <c r="L418" s="3">
        <v>74541</v>
      </c>
      <c r="M418" t="s">
        <v>34</v>
      </c>
      <c r="N418" t="s">
        <v>79</v>
      </c>
      <c r="O418">
        <v>10</v>
      </c>
      <c r="P418" t="s">
        <v>51</v>
      </c>
      <c r="Q418" t="s">
        <v>44</v>
      </c>
      <c r="R418">
        <v>2016</v>
      </c>
      <c r="S418">
        <f>IF(AND(HR_Employees[[#This Row],[Attrition]]="YES",HR_Employees[[#This Row],[Exit_Date]]&lt;&gt;""),YEAR(HR_Employees[[#This Row],[Exit_Date]]),"")</f>
        <v>2016</v>
      </c>
    </row>
    <row r="419" spans="1:19">
      <c r="A419" t="s">
        <v>751</v>
      </c>
      <c r="B419" t="s">
        <v>513</v>
      </c>
      <c r="C419">
        <v>22</v>
      </c>
      <c r="D419" t="s">
        <v>39</v>
      </c>
      <c r="E419" t="s">
        <v>21</v>
      </c>
      <c r="F419" t="s">
        <v>40</v>
      </c>
      <c r="G419" t="s">
        <v>23</v>
      </c>
      <c r="H419" s="2">
        <v>45927</v>
      </c>
      <c r="I419" s="2" t="str">
        <f>IFERROR(VLOOKUP(HR_Employees[[#This Row],[Employee_ID]],'[1]Synthetic Exit Data'!$A$2:$E$235,4,0)," NA")</f>
        <v>2025-11-15</v>
      </c>
      <c r="J419" t="s">
        <v>49</v>
      </c>
      <c r="K419">
        <v>4</v>
      </c>
      <c r="L419" s="3">
        <v>75730</v>
      </c>
      <c r="M419" t="s">
        <v>66</v>
      </c>
      <c r="N419" t="s">
        <v>43</v>
      </c>
      <c r="O419">
        <v>0.92</v>
      </c>
      <c r="P419" t="s">
        <v>35</v>
      </c>
      <c r="Q419" t="s">
        <v>86</v>
      </c>
      <c r="R419">
        <v>2025</v>
      </c>
      <c r="S419">
        <f>IF(AND(HR_Employees[[#This Row],[Attrition]]="YES",HR_Employees[[#This Row],[Exit_Date]]&lt;&gt;""),YEAR(HR_Employees[[#This Row],[Exit_Date]]),"")</f>
        <v>2025</v>
      </c>
    </row>
    <row r="420" spans="1:19">
      <c r="A420" t="s">
        <v>752</v>
      </c>
      <c r="B420" t="s">
        <v>753</v>
      </c>
      <c r="C420">
        <v>25</v>
      </c>
      <c r="D420" t="s">
        <v>39</v>
      </c>
      <c r="E420" t="s">
        <v>21</v>
      </c>
      <c r="F420" t="s">
        <v>40</v>
      </c>
      <c r="G420" t="s">
        <v>114</v>
      </c>
      <c r="H420" s="2">
        <v>46186</v>
      </c>
      <c r="I420" s="2" t="str">
        <f>IFERROR(VLOOKUP(HR_Employees[[#This Row],[Employee_ID]],'[1]Synthetic Exit Data'!$A$2:$E$235,4,0)," NA")</f>
        <v xml:space="preserve"> NA</v>
      </c>
      <c r="J420" t="s">
        <v>24</v>
      </c>
      <c r="K420">
        <v>4</v>
      </c>
      <c r="L420" s="3">
        <v>91404</v>
      </c>
      <c r="M420" t="s">
        <v>66</v>
      </c>
      <c r="N420" t="s">
        <v>43</v>
      </c>
      <c r="O420">
        <v>0.33</v>
      </c>
      <c r="P420" t="s">
        <v>27</v>
      </c>
      <c r="Q420" t="s">
        <v>58</v>
      </c>
      <c r="R420">
        <v>2026</v>
      </c>
      <c r="S420" t="str">
        <f>IF(AND(HR_Employees[[#This Row],[Attrition]]="YES",HR_Employees[[#This Row],[Exit_Date]]&lt;&gt;""),YEAR(HR_Employees[[#This Row],[Exit_Date]]),"")</f>
        <v/>
      </c>
    </row>
    <row r="421" spans="1:19">
      <c r="A421" t="s">
        <v>754</v>
      </c>
      <c r="B421" t="s">
        <v>755</v>
      </c>
      <c r="C421">
        <v>42</v>
      </c>
      <c r="D421" t="s">
        <v>61</v>
      </c>
      <c r="E421" t="s">
        <v>21</v>
      </c>
      <c r="F421" t="s">
        <v>22</v>
      </c>
      <c r="G421" t="s">
        <v>23</v>
      </c>
      <c r="H421" s="2">
        <v>44908</v>
      </c>
      <c r="I421" s="2" t="str">
        <f>IFERROR(VLOOKUP(HR_Employees[[#This Row],[Employee_ID]],'[1]Synthetic Exit Data'!$A$2:$E$235,4,0)," NA")</f>
        <v xml:space="preserve"> NA</v>
      </c>
      <c r="J421" t="s">
        <v>24</v>
      </c>
      <c r="K421">
        <v>2</v>
      </c>
      <c r="L421" s="3">
        <v>54729</v>
      </c>
      <c r="M421" t="s">
        <v>34</v>
      </c>
      <c r="N421" t="s">
        <v>50</v>
      </c>
      <c r="O421">
        <v>3.83</v>
      </c>
      <c r="P421" t="s">
        <v>51</v>
      </c>
      <c r="Q421" t="s">
        <v>44</v>
      </c>
      <c r="R421">
        <v>2022</v>
      </c>
      <c r="S421" t="str">
        <f>IF(AND(HR_Employees[[#This Row],[Attrition]]="YES",HR_Employees[[#This Row],[Exit_Date]]&lt;&gt;""),YEAR(HR_Employees[[#This Row],[Exit_Date]]),"")</f>
        <v/>
      </c>
    </row>
    <row r="422" spans="1:19">
      <c r="A422" t="s">
        <v>756</v>
      </c>
      <c r="B422" t="s">
        <v>757</v>
      </c>
      <c r="C422">
        <v>52</v>
      </c>
      <c r="D422" t="s">
        <v>20</v>
      </c>
      <c r="E422" t="s">
        <v>21</v>
      </c>
      <c r="F422" t="s">
        <v>73</v>
      </c>
      <c r="G422" t="s">
        <v>33</v>
      </c>
      <c r="H422" s="2">
        <v>43798</v>
      </c>
      <c r="I422" s="2" t="str">
        <f>IFERROR(VLOOKUP(HR_Employees[[#This Row],[Employee_ID]],'[1]Synthetic Exit Data'!$A$2:$E$235,4,0)," NA")</f>
        <v>2019-12-02</v>
      </c>
      <c r="J422" t="s">
        <v>49</v>
      </c>
      <c r="K422">
        <v>4</v>
      </c>
      <c r="L422" s="3">
        <v>45179</v>
      </c>
      <c r="M422" t="s">
        <v>42</v>
      </c>
      <c r="N422" t="s">
        <v>79</v>
      </c>
      <c r="O422">
        <v>6.75</v>
      </c>
      <c r="P422" t="s">
        <v>125</v>
      </c>
      <c r="Q422" t="s">
        <v>28</v>
      </c>
      <c r="R422">
        <v>2019</v>
      </c>
      <c r="S422">
        <f>IF(AND(HR_Employees[[#This Row],[Attrition]]="YES",HR_Employees[[#This Row],[Exit_Date]]&lt;&gt;""),YEAR(HR_Employees[[#This Row],[Exit_Date]]),"")</f>
        <v>2019</v>
      </c>
    </row>
    <row r="423" spans="1:19">
      <c r="A423" t="s">
        <v>758</v>
      </c>
      <c r="B423" t="s">
        <v>611</v>
      </c>
      <c r="C423">
        <v>26</v>
      </c>
      <c r="D423" t="s">
        <v>31</v>
      </c>
      <c r="E423" t="s">
        <v>21</v>
      </c>
      <c r="F423" t="s">
        <v>22</v>
      </c>
      <c r="G423" t="s">
        <v>114</v>
      </c>
      <c r="H423" s="2">
        <v>46125</v>
      </c>
      <c r="I423" s="2" t="str">
        <f>IFERROR(VLOOKUP(HR_Employees[[#This Row],[Employee_ID]],'[1]Synthetic Exit Data'!$A$2:$E$235,4,0)," NA")</f>
        <v xml:space="preserve"> NA</v>
      </c>
      <c r="J423" t="s">
        <v>24</v>
      </c>
      <c r="K423">
        <v>3</v>
      </c>
      <c r="L423" s="3">
        <v>36683</v>
      </c>
      <c r="M423" t="s">
        <v>42</v>
      </c>
      <c r="N423" t="s">
        <v>43</v>
      </c>
      <c r="O423">
        <v>0.5</v>
      </c>
      <c r="P423" t="s">
        <v>27</v>
      </c>
      <c r="Q423" t="s">
        <v>62</v>
      </c>
      <c r="R423">
        <v>2026</v>
      </c>
      <c r="S423" t="str">
        <f>IF(AND(HR_Employees[[#This Row],[Attrition]]="YES",HR_Employees[[#This Row],[Exit_Date]]&lt;&gt;""),YEAR(HR_Employees[[#This Row],[Exit_Date]]),"")</f>
        <v/>
      </c>
    </row>
    <row r="424" spans="1:19">
      <c r="A424" t="s">
        <v>759</v>
      </c>
      <c r="B424" t="s">
        <v>444</v>
      </c>
      <c r="C424">
        <v>34</v>
      </c>
      <c r="D424" t="s">
        <v>31</v>
      </c>
      <c r="E424" t="s">
        <v>32</v>
      </c>
      <c r="F424" t="s">
        <v>40</v>
      </c>
      <c r="G424" t="s">
        <v>33</v>
      </c>
      <c r="H424" s="2">
        <v>41291</v>
      </c>
      <c r="I424" s="2" t="str">
        <f>IFERROR(VLOOKUP(HR_Employees[[#This Row],[Employee_ID]],'[1]Synthetic Exit Data'!$A$2:$E$235,4,0)," NA")</f>
        <v>2018-01-05</v>
      </c>
      <c r="J424" t="s">
        <v>49</v>
      </c>
      <c r="K424">
        <v>2</v>
      </c>
      <c r="L424" s="3">
        <v>27139</v>
      </c>
      <c r="M424" t="s">
        <v>82</v>
      </c>
      <c r="N424" t="s">
        <v>26</v>
      </c>
      <c r="O424">
        <v>13.67</v>
      </c>
      <c r="P424" t="s">
        <v>35</v>
      </c>
      <c r="Q424" t="s">
        <v>58</v>
      </c>
      <c r="R424">
        <v>2013</v>
      </c>
      <c r="S424">
        <f>IF(AND(HR_Employees[[#This Row],[Attrition]]="YES",HR_Employees[[#This Row],[Exit_Date]]&lt;&gt;""),YEAR(HR_Employees[[#This Row],[Exit_Date]]),"")</f>
        <v>2018</v>
      </c>
    </row>
    <row r="425" spans="1:19">
      <c r="A425" t="s">
        <v>760</v>
      </c>
      <c r="B425" t="s">
        <v>761</v>
      </c>
      <c r="C425">
        <v>44</v>
      </c>
      <c r="D425" t="s">
        <v>61</v>
      </c>
      <c r="E425" t="s">
        <v>32</v>
      </c>
      <c r="F425" t="s">
        <v>73</v>
      </c>
      <c r="G425" t="s">
        <v>33</v>
      </c>
      <c r="H425" s="2">
        <v>46144</v>
      </c>
      <c r="I425" s="2" t="str">
        <f>IFERROR(VLOOKUP(HR_Employees[[#This Row],[Employee_ID]],'[1]Synthetic Exit Data'!$A$2:$E$235,4,0)," NA")</f>
        <v>2026-08-05</v>
      </c>
      <c r="J425" t="s">
        <v>49</v>
      </c>
      <c r="K425">
        <v>3</v>
      </c>
      <c r="L425" s="3">
        <v>72805</v>
      </c>
      <c r="M425" t="s">
        <v>34</v>
      </c>
      <c r="N425" t="s">
        <v>43</v>
      </c>
      <c r="O425">
        <v>0.42</v>
      </c>
      <c r="P425" t="s">
        <v>35</v>
      </c>
      <c r="Q425" t="s">
        <v>86</v>
      </c>
      <c r="R425">
        <v>2026</v>
      </c>
      <c r="S425">
        <f>IF(AND(HR_Employees[[#This Row],[Attrition]]="YES",HR_Employees[[#This Row],[Exit_Date]]&lt;&gt;""),YEAR(HR_Employees[[#This Row],[Exit_Date]]),"")</f>
        <v>2026</v>
      </c>
    </row>
    <row r="426" spans="1:19">
      <c r="A426" t="s">
        <v>762</v>
      </c>
      <c r="B426" t="s">
        <v>389</v>
      </c>
      <c r="C426">
        <v>38</v>
      </c>
      <c r="D426" t="s">
        <v>61</v>
      </c>
      <c r="E426" t="s">
        <v>32</v>
      </c>
      <c r="F426" t="s">
        <v>73</v>
      </c>
      <c r="G426" t="s">
        <v>33</v>
      </c>
      <c r="H426" s="2">
        <v>45425</v>
      </c>
      <c r="I426" s="2" t="str">
        <f>IFERROR(VLOOKUP(HR_Employees[[#This Row],[Employee_ID]],'[1]Synthetic Exit Data'!$A$2:$E$235,4,0)," NA")</f>
        <v xml:space="preserve"> NA</v>
      </c>
      <c r="J426" t="s">
        <v>24</v>
      </c>
      <c r="K426">
        <v>1</v>
      </c>
      <c r="L426" s="3">
        <v>18749</v>
      </c>
      <c r="M426" t="s">
        <v>82</v>
      </c>
      <c r="N426" t="s">
        <v>56</v>
      </c>
      <c r="O426">
        <v>2.42</v>
      </c>
      <c r="P426" t="s">
        <v>27</v>
      </c>
      <c r="Q426" t="s">
        <v>58</v>
      </c>
      <c r="R426">
        <v>2024</v>
      </c>
      <c r="S426" t="str">
        <f>IF(AND(HR_Employees[[#This Row],[Attrition]]="YES",HR_Employees[[#This Row],[Exit_Date]]&lt;&gt;""),YEAR(HR_Employees[[#This Row],[Exit_Date]]),"")</f>
        <v/>
      </c>
    </row>
    <row r="427" spans="1:19">
      <c r="A427" t="s">
        <v>763</v>
      </c>
      <c r="B427" t="s">
        <v>764</v>
      </c>
      <c r="C427">
        <v>25</v>
      </c>
      <c r="D427" t="s">
        <v>39</v>
      </c>
      <c r="E427" t="s">
        <v>21</v>
      </c>
      <c r="F427" t="s">
        <v>22</v>
      </c>
      <c r="G427" t="s">
        <v>48</v>
      </c>
      <c r="H427" s="2">
        <v>45212</v>
      </c>
      <c r="I427" s="2" t="str">
        <f>IFERROR(VLOOKUP(HR_Employees[[#This Row],[Employee_ID]],'[1]Synthetic Exit Data'!$A$2:$E$235,4,0)," NA")</f>
        <v xml:space="preserve"> NA</v>
      </c>
      <c r="J427" t="s">
        <v>24</v>
      </c>
      <c r="K427">
        <v>3</v>
      </c>
      <c r="L427" s="3">
        <v>92066</v>
      </c>
      <c r="M427" t="s">
        <v>66</v>
      </c>
      <c r="N427" t="s">
        <v>56</v>
      </c>
      <c r="O427">
        <v>3</v>
      </c>
      <c r="P427" t="s">
        <v>57</v>
      </c>
      <c r="Q427" t="s">
        <v>28</v>
      </c>
      <c r="R427">
        <v>2023</v>
      </c>
      <c r="S427" t="str">
        <f>IF(AND(HR_Employees[[#This Row],[Attrition]]="YES",HR_Employees[[#This Row],[Exit_Date]]&lt;&gt;""),YEAR(HR_Employees[[#This Row],[Exit_Date]]),"")</f>
        <v/>
      </c>
    </row>
    <row r="428" spans="1:19">
      <c r="A428" t="s">
        <v>765</v>
      </c>
      <c r="B428" t="s">
        <v>766</v>
      </c>
      <c r="C428">
        <v>39</v>
      </c>
      <c r="D428" t="s">
        <v>61</v>
      </c>
      <c r="E428" t="s">
        <v>21</v>
      </c>
      <c r="F428" t="s">
        <v>55</v>
      </c>
      <c r="G428" t="s">
        <v>23</v>
      </c>
      <c r="H428" s="2">
        <v>46199</v>
      </c>
      <c r="I428" s="2" t="str">
        <f>IFERROR(VLOOKUP(HR_Employees[[#This Row],[Employee_ID]],'[1]Synthetic Exit Data'!$A$2:$E$235,4,0)," NA")</f>
        <v>2026-10-11</v>
      </c>
      <c r="J428" t="s">
        <v>49</v>
      </c>
      <c r="K428">
        <v>3</v>
      </c>
      <c r="L428" s="3">
        <v>88345</v>
      </c>
      <c r="M428" t="s">
        <v>66</v>
      </c>
      <c r="N428" t="s">
        <v>43</v>
      </c>
      <c r="O428">
        <v>0.25</v>
      </c>
      <c r="P428" t="s">
        <v>125</v>
      </c>
      <c r="Q428" t="s">
        <v>76</v>
      </c>
      <c r="R428">
        <v>2026</v>
      </c>
      <c r="S428">
        <f>IF(AND(HR_Employees[[#This Row],[Attrition]]="YES",HR_Employees[[#This Row],[Exit_Date]]&lt;&gt;""),YEAR(HR_Employees[[#This Row],[Exit_Date]]),"")</f>
        <v>2026</v>
      </c>
    </row>
    <row r="429" spans="1:19">
      <c r="A429" t="s">
        <v>767</v>
      </c>
      <c r="B429" t="s">
        <v>768</v>
      </c>
      <c r="C429">
        <v>34</v>
      </c>
      <c r="D429" t="s">
        <v>31</v>
      </c>
      <c r="E429" t="s">
        <v>32</v>
      </c>
      <c r="F429" t="s">
        <v>22</v>
      </c>
      <c r="G429" t="s">
        <v>23</v>
      </c>
      <c r="H429" s="2">
        <v>46094</v>
      </c>
      <c r="I429" s="2" t="str">
        <f>IFERROR(VLOOKUP(HR_Employees[[#This Row],[Employee_ID]],'[1]Synthetic Exit Data'!$A$2:$E$235,4,0)," NA")</f>
        <v xml:space="preserve"> NA</v>
      </c>
      <c r="J429" t="s">
        <v>24</v>
      </c>
      <c r="K429">
        <v>3</v>
      </c>
      <c r="L429" s="3">
        <v>44278</v>
      </c>
      <c r="M429" t="s">
        <v>42</v>
      </c>
      <c r="N429" t="s">
        <v>43</v>
      </c>
      <c r="O429">
        <v>0.57999999999999996</v>
      </c>
      <c r="P429" t="s">
        <v>35</v>
      </c>
      <c r="Q429" t="s">
        <v>58</v>
      </c>
      <c r="R429">
        <v>2026</v>
      </c>
      <c r="S429" t="str">
        <f>IF(AND(HR_Employees[[#This Row],[Attrition]]="YES",HR_Employees[[#This Row],[Exit_Date]]&lt;&gt;""),YEAR(HR_Employees[[#This Row],[Exit_Date]]),"")</f>
        <v/>
      </c>
    </row>
    <row r="430" spans="1:19">
      <c r="A430" t="s">
        <v>769</v>
      </c>
      <c r="B430" t="s">
        <v>770</v>
      </c>
      <c r="C430">
        <v>51</v>
      </c>
      <c r="D430" t="s">
        <v>20</v>
      </c>
      <c r="E430" t="s">
        <v>32</v>
      </c>
      <c r="F430" t="s">
        <v>65</v>
      </c>
      <c r="G430" t="s">
        <v>48</v>
      </c>
      <c r="H430" s="2">
        <v>40921</v>
      </c>
      <c r="I430" s="2" t="str">
        <f>IFERROR(VLOOKUP(HR_Employees[[#This Row],[Employee_ID]],'[1]Synthetic Exit Data'!$A$2:$E$235,4,0)," NA")</f>
        <v xml:space="preserve"> NA</v>
      </c>
      <c r="J430" t="s">
        <v>24</v>
      </c>
      <c r="K430">
        <v>4</v>
      </c>
      <c r="L430" s="3">
        <v>44914</v>
      </c>
      <c r="M430" t="s">
        <v>42</v>
      </c>
      <c r="N430" t="s">
        <v>26</v>
      </c>
      <c r="O430">
        <v>14.75</v>
      </c>
      <c r="P430" t="s">
        <v>27</v>
      </c>
      <c r="Q430" t="s">
        <v>28</v>
      </c>
      <c r="R430">
        <v>2012</v>
      </c>
      <c r="S430" t="str">
        <f>IF(AND(HR_Employees[[#This Row],[Attrition]]="YES",HR_Employees[[#This Row],[Exit_Date]]&lt;&gt;""),YEAR(HR_Employees[[#This Row],[Exit_Date]]),"")</f>
        <v/>
      </c>
    </row>
    <row r="431" spans="1:19">
      <c r="A431" t="s">
        <v>771</v>
      </c>
      <c r="B431" t="s">
        <v>720</v>
      </c>
      <c r="C431">
        <v>44</v>
      </c>
      <c r="D431" t="s">
        <v>61</v>
      </c>
      <c r="E431" t="s">
        <v>32</v>
      </c>
      <c r="F431" t="s">
        <v>22</v>
      </c>
      <c r="G431" t="s">
        <v>48</v>
      </c>
      <c r="H431" s="2">
        <v>41318</v>
      </c>
      <c r="I431" s="2" t="str">
        <f>IFERROR(VLOOKUP(HR_Employees[[#This Row],[Employee_ID]],'[1]Synthetic Exit Data'!$A$2:$E$235,4,0)," NA")</f>
        <v xml:space="preserve"> NA</v>
      </c>
      <c r="J431" t="s">
        <v>24</v>
      </c>
      <c r="K431">
        <v>4</v>
      </c>
      <c r="L431" s="3">
        <v>42907</v>
      </c>
      <c r="M431" t="s">
        <v>42</v>
      </c>
      <c r="N431" t="s">
        <v>26</v>
      </c>
      <c r="O431">
        <v>13.67</v>
      </c>
      <c r="P431" t="s">
        <v>57</v>
      </c>
      <c r="Q431" t="s">
        <v>36</v>
      </c>
      <c r="R431">
        <v>2013</v>
      </c>
      <c r="S431" t="str">
        <f>IF(AND(HR_Employees[[#This Row],[Attrition]]="YES",HR_Employees[[#This Row],[Exit_Date]]&lt;&gt;""),YEAR(HR_Employees[[#This Row],[Exit_Date]]),"")</f>
        <v/>
      </c>
    </row>
    <row r="432" spans="1:19">
      <c r="A432" t="s">
        <v>772</v>
      </c>
      <c r="B432" t="s">
        <v>773</v>
      </c>
      <c r="C432">
        <v>52</v>
      </c>
      <c r="D432" t="s">
        <v>20</v>
      </c>
      <c r="E432" t="s">
        <v>32</v>
      </c>
      <c r="F432" t="s">
        <v>40</v>
      </c>
      <c r="G432" t="s">
        <v>23</v>
      </c>
      <c r="H432" s="2">
        <v>45974</v>
      </c>
      <c r="I432" s="2" t="str">
        <f>IFERROR(VLOOKUP(HR_Employees[[#This Row],[Employee_ID]],'[1]Synthetic Exit Data'!$A$2:$E$235,4,0)," NA")</f>
        <v xml:space="preserve"> NA</v>
      </c>
      <c r="J432" t="s">
        <v>24</v>
      </c>
      <c r="K432">
        <v>3</v>
      </c>
      <c r="L432" s="3">
        <v>23791</v>
      </c>
      <c r="M432" t="s">
        <v>82</v>
      </c>
      <c r="N432" t="s">
        <v>43</v>
      </c>
      <c r="O432">
        <v>0.92</v>
      </c>
      <c r="P432" t="s">
        <v>51</v>
      </c>
      <c r="Q432" t="s">
        <v>92</v>
      </c>
      <c r="R432">
        <v>2025</v>
      </c>
      <c r="S432" t="str">
        <f>IF(AND(HR_Employees[[#This Row],[Attrition]]="YES",HR_Employees[[#This Row],[Exit_Date]]&lt;&gt;""),YEAR(HR_Employees[[#This Row],[Exit_Date]]),"")</f>
        <v/>
      </c>
    </row>
    <row r="433" spans="1:19">
      <c r="A433" t="s">
        <v>774</v>
      </c>
      <c r="B433" t="s">
        <v>775</v>
      </c>
      <c r="C433">
        <v>36</v>
      </c>
      <c r="D433" t="s">
        <v>61</v>
      </c>
      <c r="E433" t="s">
        <v>32</v>
      </c>
      <c r="F433" t="s">
        <v>151</v>
      </c>
      <c r="G433" t="s">
        <v>33</v>
      </c>
      <c r="H433" s="2">
        <v>46186</v>
      </c>
      <c r="I433" s="2" t="str">
        <f>IFERROR(VLOOKUP(HR_Employees[[#This Row],[Employee_ID]],'[1]Synthetic Exit Data'!$A$2:$E$235,4,0)," NA")</f>
        <v xml:space="preserve"> NA</v>
      </c>
      <c r="J433" t="s">
        <v>24</v>
      </c>
      <c r="K433">
        <v>3</v>
      </c>
      <c r="L433" s="3">
        <v>29473</v>
      </c>
      <c r="M433" t="s">
        <v>82</v>
      </c>
      <c r="N433" t="s">
        <v>43</v>
      </c>
      <c r="O433">
        <v>0.33</v>
      </c>
      <c r="P433" t="s">
        <v>57</v>
      </c>
      <c r="Q433" t="s">
        <v>36</v>
      </c>
      <c r="R433">
        <v>2026</v>
      </c>
      <c r="S433" t="str">
        <f>IF(AND(HR_Employees[[#This Row],[Attrition]]="YES",HR_Employees[[#This Row],[Exit_Date]]&lt;&gt;""),YEAR(HR_Employees[[#This Row],[Exit_Date]]),"")</f>
        <v/>
      </c>
    </row>
    <row r="434" spans="1:19">
      <c r="A434" t="s">
        <v>776</v>
      </c>
      <c r="B434" t="s">
        <v>777</v>
      </c>
      <c r="C434">
        <v>22</v>
      </c>
      <c r="D434" t="s">
        <v>39</v>
      </c>
      <c r="E434" t="s">
        <v>32</v>
      </c>
      <c r="F434" t="s">
        <v>47</v>
      </c>
      <c r="G434" t="s">
        <v>23</v>
      </c>
      <c r="H434" s="2">
        <v>44390</v>
      </c>
      <c r="I434" s="2" t="str">
        <f>IFERROR(VLOOKUP(HR_Employees[[#This Row],[Employee_ID]],'[1]Synthetic Exit Data'!$A$2:$E$235,4,0)," NA")</f>
        <v xml:space="preserve"> NA</v>
      </c>
      <c r="J434" t="s">
        <v>24</v>
      </c>
      <c r="K434">
        <v>4</v>
      </c>
      <c r="L434" s="3">
        <v>26735</v>
      </c>
      <c r="M434" t="s">
        <v>82</v>
      </c>
      <c r="N434" t="s">
        <v>79</v>
      </c>
      <c r="O434">
        <v>5.25</v>
      </c>
      <c r="P434" t="s">
        <v>57</v>
      </c>
      <c r="Q434" t="s">
        <v>28</v>
      </c>
      <c r="R434">
        <v>2021</v>
      </c>
      <c r="S434" t="str">
        <f>IF(AND(HR_Employees[[#This Row],[Attrition]]="YES",HR_Employees[[#This Row],[Exit_Date]]&lt;&gt;""),YEAR(HR_Employees[[#This Row],[Exit_Date]]),"")</f>
        <v/>
      </c>
    </row>
    <row r="435" spans="1:19">
      <c r="A435" t="s">
        <v>778</v>
      </c>
      <c r="B435" t="s">
        <v>779</v>
      </c>
      <c r="C435">
        <v>29</v>
      </c>
      <c r="D435" t="s">
        <v>31</v>
      </c>
      <c r="E435" t="s">
        <v>32</v>
      </c>
      <c r="F435" t="s">
        <v>151</v>
      </c>
      <c r="G435" t="s">
        <v>48</v>
      </c>
      <c r="H435" s="2">
        <v>41833</v>
      </c>
      <c r="I435" s="2" t="str">
        <f>IFERROR(VLOOKUP(HR_Employees[[#This Row],[Employee_ID]],'[1]Synthetic Exit Data'!$A$2:$E$235,4,0)," NA")</f>
        <v xml:space="preserve"> NA</v>
      </c>
      <c r="J435" t="s">
        <v>24</v>
      </c>
      <c r="K435">
        <v>4</v>
      </c>
      <c r="L435" s="3">
        <v>22238</v>
      </c>
      <c r="M435" t="s">
        <v>82</v>
      </c>
      <c r="N435" t="s">
        <v>26</v>
      </c>
      <c r="O435">
        <v>12.25</v>
      </c>
      <c r="P435" t="s">
        <v>27</v>
      </c>
      <c r="Q435" t="s">
        <v>76</v>
      </c>
      <c r="R435">
        <v>2014</v>
      </c>
      <c r="S435" t="str">
        <f>IF(AND(HR_Employees[[#This Row],[Attrition]]="YES",HR_Employees[[#This Row],[Exit_Date]]&lt;&gt;""),YEAR(HR_Employees[[#This Row],[Exit_Date]]),"")</f>
        <v/>
      </c>
    </row>
    <row r="436" spans="1:19">
      <c r="A436" t="s">
        <v>780</v>
      </c>
      <c r="B436" t="s">
        <v>781</v>
      </c>
      <c r="C436">
        <v>33</v>
      </c>
      <c r="D436" t="s">
        <v>31</v>
      </c>
      <c r="E436" t="s">
        <v>32</v>
      </c>
      <c r="F436" t="s">
        <v>47</v>
      </c>
      <c r="G436" t="s">
        <v>23</v>
      </c>
      <c r="H436" s="2">
        <v>46247</v>
      </c>
      <c r="I436" s="2" t="str">
        <f>IFERROR(VLOOKUP(HR_Employees[[#This Row],[Employee_ID]],'[1]Synthetic Exit Data'!$A$2:$E$235,4,0)," NA")</f>
        <v xml:space="preserve"> NA</v>
      </c>
      <c r="J436" t="s">
        <v>24</v>
      </c>
      <c r="K436">
        <v>2</v>
      </c>
      <c r="L436" s="3">
        <v>27271</v>
      </c>
      <c r="M436" t="s">
        <v>82</v>
      </c>
      <c r="N436" t="s">
        <v>43</v>
      </c>
      <c r="O436">
        <v>0.17</v>
      </c>
      <c r="P436" t="s">
        <v>27</v>
      </c>
      <c r="Q436" t="s">
        <v>36</v>
      </c>
      <c r="R436">
        <v>2026</v>
      </c>
      <c r="S436" t="str">
        <f>IF(AND(HR_Employees[[#This Row],[Attrition]]="YES",HR_Employees[[#This Row],[Exit_Date]]&lt;&gt;""),YEAR(HR_Employees[[#This Row],[Exit_Date]]),"")</f>
        <v/>
      </c>
    </row>
    <row r="437" spans="1:19">
      <c r="A437" t="s">
        <v>782</v>
      </c>
      <c r="B437" t="s">
        <v>783</v>
      </c>
      <c r="C437">
        <v>44</v>
      </c>
      <c r="D437" t="s">
        <v>61</v>
      </c>
      <c r="E437" t="s">
        <v>21</v>
      </c>
      <c r="F437" t="s">
        <v>22</v>
      </c>
      <c r="G437" t="s">
        <v>23</v>
      </c>
      <c r="H437" s="2">
        <v>45364</v>
      </c>
      <c r="I437" s="2" t="str">
        <f>IFERROR(VLOOKUP(HR_Employees[[#This Row],[Employee_ID]],'[1]Synthetic Exit Data'!$A$2:$E$235,4,0)," NA")</f>
        <v xml:space="preserve"> NA</v>
      </c>
      <c r="J437" t="s">
        <v>24</v>
      </c>
      <c r="K437">
        <v>4</v>
      </c>
      <c r="L437" s="3">
        <v>20184</v>
      </c>
      <c r="M437" t="s">
        <v>82</v>
      </c>
      <c r="N437" t="s">
        <v>56</v>
      </c>
      <c r="O437">
        <v>2.58</v>
      </c>
      <c r="P437" t="s">
        <v>27</v>
      </c>
      <c r="Q437" t="s">
        <v>92</v>
      </c>
      <c r="R437">
        <v>2024</v>
      </c>
      <c r="S437" t="str">
        <f>IF(AND(HR_Employees[[#This Row],[Attrition]]="YES",HR_Employees[[#This Row],[Exit_Date]]&lt;&gt;""),YEAR(HR_Employees[[#This Row],[Exit_Date]]),"")</f>
        <v/>
      </c>
    </row>
    <row r="438" spans="1:19">
      <c r="A438" t="s">
        <v>784</v>
      </c>
      <c r="B438" t="s">
        <v>785</v>
      </c>
      <c r="C438">
        <v>45</v>
      </c>
      <c r="D438" t="s">
        <v>61</v>
      </c>
      <c r="E438" t="s">
        <v>32</v>
      </c>
      <c r="F438" t="s">
        <v>109</v>
      </c>
      <c r="G438" t="s">
        <v>23</v>
      </c>
      <c r="H438" s="2">
        <v>44908</v>
      </c>
      <c r="I438" s="2" t="str">
        <f>IFERROR(VLOOKUP(HR_Employees[[#This Row],[Employee_ID]],'[1]Synthetic Exit Data'!$A$2:$E$235,4,0)," NA")</f>
        <v xml:space="preserve"> NA</v>
      </c>
      <c r="J438" t="s">
        <v>24</v>
      </c>
      <c r="K438">
        <v>4</v>
      </c>
      <c r="L438" s="3">
        <v>30381</v>
      </c>
      <c r="M438" t="s">
        <v>42</v>
      </c>
      <c r="N438" t="s">
        <v>50</v>
      </c>
      <c r="O438">
        <v>3.83</v>
      </c>
      <c r="P438" t="s">
        <v>27</v>
      </c>
      <c r="Q438" t="s">
        <v>28</v>
      </c>
      <c r="R438">
        <v>2022</v>
      </c>
      <c r="S438" t="str">
        <f>IF(AND(HR_Employees[[#This Row],[Attrition]]="YES",HR_Employees[[#This Row],[Exit_Date]]&lt;&gt;""),YEAR(HR_Employees[[#This Row],[Exit_Date]]),"")</f>
        <v/>
      </c>
    </row>
    <row r="439" spans="1:19">
      <c r="A439" t="s">
        <v>786</v>
      </c>
      <c r="B439" t="s">
        <v>425</v>
      </c>
      <c r="C439">
        <v>54</v>
      </c>
      <c r="D439" t="s">
        <v>20</v>
      </c>
      <c r="E439" t="s">
        <v>21</v>
      </c>
      <c r="F439" t="s">
        <v>40</v>
      </c>
      <c r="G439" t="s">
        <v>23</v>
      </c>
      <c r="H439" s="2">
        <v>44682</v>
      </c>
      <c r="I439" s="2" t="str">
        <f>IFERROR(VLOOKUP(HR_Employees[[#This Row],[Employee_ID]],'[1]Synthetic Exit Data'!$A$2:$E$235,4,0)," NA")</f>
        <v>2022-05-07</v>
      </c>
      <c r="J439" t="s">
        <v>49</v>
      </c>
      <c r="K439">
        <v>3</v>
      </c>
      <c r="L439" s="3">
        <v>50190</v>
      </c>
      <c r="M439" t="s">
        <v>34</v>
      </c>
      <c r="N439" t="s">
        <v>50</v>
      </c>
      <c r="O439">
        <v>4.42</v>
      </c>
      <c r="P439" t="s">
        <v>35</v>
      </c>
      <c r="Q439" t="s">
        <v>86</v>
      </c>
      <c r="R439">
        <v>2022</v>
      </c>
      <c r="S439">
        <f>IF(AND(HR_Employees[[#This Row],[Attrition]]="YES",HR_Employees[[#This Row],[Exit_Date]]&lt;&gt;""),YEAR(HR_Employees[[#This Row],[Exit_Date]]),"")</f>
        <v>2022</v>
      </c>
    </row>
    <row r="440" spans="1:19">
      <c r="A440" t="s">
        <v>787</v>
      </c>
      <c r="B440" t="s">
        <v>569</v>
      </c>
      <c r="C440">
        <v>40</v>
      </c>
      <c r="D440" t="s">
        <v>61</v>
      </c>
      <c r="E440" t="s">
        <v>32</v>
      </c>
      <c r="F440" t="s">
        <v>47</v>
      </c>
      <c r="G440" t="s">
        <v>48</v>
      </c>
      <c r="H440" s="2">
        <v>43294</v>
      </c>
      <c r="I440" s="2" t="str">
        <f>IFERROR(VLOOKUP(HR_Employees[[#This Row],[Employee_ID]],'[1]Synthetic Exit Data'!$A$2:$E$235,4,0)," NA")</f>
        <v xml:space="preserve"> NA</v>
      </c>
      <c r="J440" t="s">
        <v>24</v>
      </c>
      <c r="K440">
        <v>4</v>
      </c>
      <c r="L440" s="3">
        <v>27598</v>
      </c>
      <c r="M440" t="s">
        <v>82</v>
      </c>
      <c r="N440" t="s">
        <v>79</v>
      </c>
      <c r="O440">
        <v>8.25</v>
      </c>
      <c r="P440" t="s">
        <v>27</v>
      </c>
      <c r="Q440" t="s">
        <v>86</v>
      </c>
      <c r="R440">
        <v>2018</v>
      </c>
      <c r="S440" t="str">
        <f>IF(AND(HR_Employees[[#This Row],[Attrition]]="YES",HR_Employees[[#This Row],[Exit_Date]]&lt;&gt;""),YEAR(HR_Employees[[#This Row],[Exit_Date]]),"")</f>
        <v/>
      </c>
    </row>
    <row r="441" spans="1:19">
      <c r="A441" t="s">
        <v>788</v>
      </c>
      <c r="B441" t="s">
        <v>397</v>
      </c>
      <c r="C441">
        <v>25</v>
      </c>
      <c r="D441" t="s">
        <v>39</v>
      </c>
      <c r="E441" t="s">
        <v>21</v>
      </c>
      <c r="F441" t="s">
        <v>47</v>
      </c>
      <c r="G441" t="s">
        <v>23</v>
      </c>
      <c r="H441" s="2">
        <v>46066</v>
      </c>
      <c r="I441" s="2" t="str">
        <f>IFERROR(VLOOKUP(HR_Employees[[#This Row],[Employee_ID]],'[1]Synthetic Exit Data'!$A$2:$E$235,4,0)," NA")</f>
        <v xml:space="preserve"> NA</v>
      </c>
      <c r="J441" t="s">
        <v>24</v>
      </c>
      <c r="K441">
        <v>4</v>
      </c>
      <c r="L441" s="3">
        <v>18900</v>
      </c>
      <c r="M441" t="s">
        <v>82</v>
      </c>
      <c r="N441" t="s">
        <v>43</v>
      </c>
      <c r="O441">
        <v>0.67</v>
      </c>
      <c r="P441" t="s">
        <v>57</v>
      </c>
      <c r="Q441" t="s">
        <v>58</v>
      </c>
      <c r="R441">
        <v>2026</v>
      </c>
      <c r="S441" t="str">
        <f>IF(AND(HR_Employees[[#This Row],[Attrition]]="YES",HR_Employees[[#This Row],[Exit_Date]]&lt;&gt;""),YEAR(HR_Employees[[#This Row],[Exit_Date]]),"")</f>
        <v/>
      </c>
    </row>
    <row r="442" spans="1:19">
      <c r="A442" t="s">
        <v>789</v>
      </c>
      <c r="B442" t="s">
        <v>155</v>
      </c>
      <c r="C442">
        <v>35</v>
      </c>
      <c r="D442" t="s">
        <v>31</v>
      </c>
      <c r="E442" t="s">
        <v>32</v>
      </c>
      <c r="F442" t="s">
        <v>47</v>
      </c>
      <c r="G442" t="s">
        <v>23</v>
      </c>
      <c r="H442" s="2">
        <v>42626</v>
      </c>
      <c r="I442" s="2" t="str">
        <f>IFERROR(VLOOKUP(HR_Employees[[#This Row],[Employee_ID]],'[1]Synthetic Exit Data'!$A$2:$E$235,4,0)," NA")</f>
        <v xml:space="preserve"> NA</v>
      </c>
      <c r="J442" t="s">
        <v>24</v>
      </c>
      <c r="K442">
        <v>2</v>
      </c>
      <c r="L442" s="3">
        <v>39617</v>
      </c>
      <c r="M442" t="s">
        <v>42</v>
      </c>
      <c r="N442" t="s">
        <v>26</v>
      </c>
      <c r="O442">
        <v>10.08</v>
      </c>
      <c r="P442" t="s">
        <v>51</v>
      </c>
      <c r="Q442" t="s">
        <v>62</v>
      </c>
      <c r="R442">
        <v>2016</v>
      </c>
      <c r="S442" t="str">
        <f>IF(AND(HR_Employees[[#This Row],[Attrition]]="YES",HR_Employees[[#This Row],[Exit_Date]]&lt;&gt;""),YEAR(HR_Employees[[#This Row],[Exit_Date]]),"")</f>
        <v/>
      </c>
    </row>
    <row r="443" spans="1:19">
      <c r="A443" t="s">
        <v>790</v>
      </c>
      <c r="B443" t="s">
        <v>111</v>
      </c>
      <c r="C443">
        <v>52</v>
      </c>
      <c r="D443" t="s">
        <v>20</v>
      </c>
      <c r="E443" t="s">
        <v>21</v>
      </c>
      <c r="F443" t="s">
        <v>55</v>
      </c>
      <c r="G443" t="s">
        <v>23</v>
      </c>
      <c r="H443" s="2">
        <v>46155</v>
      </c>
      <c r="I443" s="2" t="str">
        <f>IFERROR(VLOOKUP(HR_Employees[[#This Row],[Employee_ID]],'[1]Synthetic Exit Data'!$A$2:$E$235,4,0)," NA")</f>
        <v xml:space="preserve"> NA</v>
      </c>
      <c r="J443" t="s">
        <v>24</v>
      </c>
      <c r="K443">
        <v>4</v>
      </c>
      <c r="L443" s="3">
        <v>69316</v>
      </c>
      <c r="M443" t="s">
        <v>34</v>
      </c>
      <c r="N443" t="s">
        <v>43</v>
      </c>
      <c r="O443">
        <v>0.42</v>
      </c>
      <c r="P443" t="s">
        <v>83</v>
      </c>
      <c r="Q443" t="s">
        <v>36</v>
      </c>
      <c r="R443">
        <v>2026</v>
      </c>
      <c r="S443" t="str">
        <f>IF(AND(HR_Employees[[#This Row],[Attrition]]="YES",HR_Employees[[#This Row],[Exit_Date]]&lt;&gt;""),YEAR(HR_Employees[[#This Row],[Exit_Date]]),"")</f>
        <v/>
      </c>
    </row>
    <row r="444" spans="1:19">
      <c r="A444" t="s">
        <v>791</v>
      </c>
      <c r="B444" t="s">
        <v>158</v>
      </c>
      <c r="C444">
        <v>29</v>
      </c>
      <c r="D444" t="s">
        <v>31</v>
      </c>
      <c r="E444" t="s">
        <v>32</v>
      </c>
      <c r="F444" t="s">
        <v>47</v>
      </c>
      <c r="G444" t="s">
        <v>23</v>
      </c>
      <c r="H444" s="2">
        <v>46248</v>
      </c>
      <c r="I444" s="2" t="str">
        <f>IFERROR(VLOOKUP(HR_Employees[[#This Row],[Employee_ID]],'[1]Synthetic Exit Data'!$A$2:$E$235,4,0)," NA")</f>
        <v>2026-10-08</v>
      </c>
      <c r="J444" t="s">
        <v>49</v>
      </c>
      <c r="K444">
        <v>1</v>
      </c>
      <c r="L444" s="3">
        <v>64869</v>
      </c>
      <c r="M444" t="s">
        <v>34</v>
      </c>
      <c r="N444" t="s">
        <v>43</v>
      </c>
      <c r="O444">
        <v>0.08</v>
      </c>
      <c r="P444" t="s">
        <v>27</v>
      </c>
      <c r="Q444" t="s">
        <v>92</v>
      </c>
      <c r="R444">
        <v>2026</v>
      </c>
      <c r="S444">
        <f>IF(AND(HR_Employees[[#This Row],[Attrition]]="YES",HR_Employees[[#This Row],[Exit_Date]]&lt;&gt;""),YEAR(HR_Employees[[#This Row],[Exit_Date]]),"")</f>
        <v>2026</v>
      </c>
    </row>
    <row r="445" spans="1:19">
      <c r="A445" t="s">
        <v>792</v>
      </c>
      <c r="B445" t="s">
        <v>666</v>
      </c>
      <c r="C445">
        <v>41</v>
      </c>
      <c r="D445" t="s">
        <v>61</v>
      </c>
      <c r="E445" t="s">
        <v>21</v>
      </c>
      <c r="F445" t="s">
        <v>40</v>
      </c>
      <c r="G445" t="s">
        <v>33</v>
      </c>
      <c r="H445" s="2">
        <v>46278</v>
      </c>
      <c r="I445" s="2" t="str">
        <f>IFERROR(VLOOKUP(HR_Employees[[#This Row],[Employee_ID]],'[1]Synthetic Exit Data'!$A$2:$E$235,4,0)," NA")</f>
        <v xml:space="preserve"> NA</v>
      </c>
      <c r="J445" t="s">
        <v>24</v>
      </c>
      <c r="K445">
        <v>5</v>
      </c>
      <c r="L445" s="3">
        <v>60411</v>
      </c>
      <c r="M445" t="s">
        <v>34</v>
      </c>
      <c r="N445" t="s">
        <v>43</v>
      </c>
      <c r="O445">
        <v>0.08</v>
      </c>
      <c r="P445" t="s">
        <v>57</v>
      </c>
      <c r="Q445" t="s">
        <v>86</v>
      </c>
      <c r="R445">
        <v>2026</v>
      </c>
      <c r="S445" t="str">
        <f>IF(AND(HR_Employees[[#This Row],[Attrition]]="YES",HR_Employees[[#This Row],[Exit_Date]]&lt;&gt;""),YEAR(HR_Employees[[#This Row],[Exit_Date]]),"")</f>
        <v/>
      </c>
    </row>
    <row r="446" spans="1:19">
      <c r="A446" t="s">
        <v>793</v>
      </c>
      <c r="B446" t="s">
        <v>261</v>
      </c>
      <c r="C446">
        <v>34</v>
      </c>
      <c r="D446" t="s">
        <v>31</v>
      </c>
      <c r="E446" t="s">
        <v>21</v>
      </c>
      <c r="F446" t="s">
        <v>47</v>
      </c>
      <c r="G446" t="s">
        <v>33</v>
      </c>
      <c r="H446" s="2">
        <v>43264</v>
      </c>
      <c r="I446" s="2" t="str">
        <f>IFERROR(VLOOKUP(HR_Employees[[#This Row],[Employee_ID]],'[1]Synthetic Exit Data'!$A$2:$E$235,4,0)," NA")</f>
        <v xml:space="preserve"> NA</v>
      </c>
      <c r="J446" t="s">
        <v>24</v>
      </c>
      <c r="K446">
        <v>5</v>
      </c>
      <c r="L446" s="3">
        <v>73268</v>
      </c>
      <c r="M446" t="s">
        <v>34</v>
      </c>
      <c r="N446" t="s">
        <v>79</v>
      </c>
      <c r="O446">
        <v>8.33</v>
      </c>
      <c r="P446" t="s">
        <v>83</v>
      </c>
      <c r="Q446" t="s">
        <v>62</v>
      </c>
      <c r="R446">
        <v>2018</v>
      </c>
      <c r="S446" t="str">
        <f>IF(AND(HR_Employees[[#This Row],[Attrition]]="YES",HR_Employees[[#This Row],[Exit_Date]]&lt;&gt;""),YEAR(HR_Employees[[#This Row],[Exit_Date]]),"")</f>
        <v/>
      </c>
    </row>
    <row r="447" spans="1:19">
      <c r="A447" t="s">
        <v>794</v>
      </c>
      <c r="B447" t="s">
        <v>795</v>
      </c>
      <c r="C447">
        <v>54</v>
      </c>
      <c r="D447" t="s">
        <v>20</v>
      </c>
      <c r="E447" t="s">
        <v>32</v>
      </c>
      <c r="F447" t="s">
        <v>109</v>
      </c>
      <c r="G447" t="s">
        <v>23</v>
      </c>
      <c r="H447" s="2">
        <v>44452</v>
      </c>
      <c r="I447" s="2" t="str">
        <f>IFERROR(VLOOKUP(HR_Employees[[#This Row],[Employee_ID]],'[1]Synthetic Exit Data'!$A$2:$E$235,4,0)," NA")</f>
        <v xml:space="preserve"> NA</v>
      </c>
      <c r="J447" t="s">
        <v>24</v>
      </c>
      <c r="K447">
        <v>2</v>
      </c>
      <c r="L447" s="3">
        <v>77091</v>
      </c>
      <c r="M447" t="s">
        <v>66</v>
      </c>
      <c r="N447" t="s">
        <v>79</v>
      </c>
      <c r="O447">
        <v>5.08</v>
      </c>
      <c r="P447" t="s">
        <v>57</v>
      </c>
      <c r="Q447" t="s">
        <v>28</v>
      </c>
      <c r="R447">
        <v>2021</v>
      </c>
      <c r="S447" t="str">
        <f>IF(AND(HR_Employees[[#This Row],[Attrition]]="YES",HR_Employees[[#This Row],[Exit_Date]]&lt;&gt;""),YEAR(HR_Employees[[#This Row],[Exit_Date]]),"")</f>
        <v/>
      </c>
    </row>
    <row r="448" spans="1:19">
      <c r="A448" t="s">
        <v>796</v>
      </c>
      <c r="B448" t="s">
        <v>517</v>
      </c>
      <c r="C448">
        <v>27</v>
      </c>
      <c r="D448" t="s">
        <v>31</v>
      </c>
      <c r="E448" t="s">
        <v>21</v>
      </c>
      <c r="F448" t="s">
        <v>73</v>
      </c>
      <c r="G448" t="s">
        <v>23</v>
      </c>
      <c r="H448" s="2">
        <v>42107</v>
      </c>
      <c r="I448" s="2" t="str">
        <f>IFERROR(VLOOKUP(HR_Employees[[#This Row],[Employee_ID]],'[1]Synthetic Exit Data'!$A$2:$E$235,4,0)," NA")</f>
        <v xml:space="preserve"> NA</v>
      </c>
      <c r="J448" t="s">
        <v>24</v>
      </c>
      <c r="K448">
        <v>3</v>
      </c>
      <c r="L448" s="3">
        <v>34494</v>
      </c>
      <c r="M448" t="s">
        <v>42</v>
      </c>
      <c r="N448" t="s">
        <v>26</v>
      </c>
      <c r="O448">
        <v>11.5</v>
      </c>
      <c r="P448" t="s">
        <v>57</v>
      </c>
      <c r="Q448" t="s">
        <v>44</v>
      </c>
      <c r="R448">
        <v>2015</v>
      </c>
      <c r="S448" t="str">
        <f>IF(AND(HR_Employees[[#This Row],[Attrition]]="YES",HR_Employees[[#This Row],[Exit_Date]]&lt;&gt;""),YEAR(HR_Employees[[#This Row],[Exit_Date]]),"")</f>
        <v/>
      </c>
    </row>
    <row r="449" spans="1:19">
      <c r="A449" t="s">
        <v>797</v>
      </c>
      <c r="B449" t="s">
        <v>503</v>
      </c>
      <c r="C449">
        <v>56</v>
      </c>
      <c r="D449" t="s">
        <v>54</v>
      </c>
      <c r="E449" t="s">
        <v>32</v>
      </c>
      <c r="F449" t="s">
        <v>40</v>
      </c>
      <c r="G449" t="s">
        <v>33</v>
      </c>
      <c r="H449" s="2">
        <v>43172</v>
      </c>
      <c r="I449" s="2" t="str">
        <f>IFERROR(VLOOKUP(HR_Employees[[#This Row],[Employee_ID]],'[1]Synthetic Exit Data'!$A$2:$E$235,4,0)," NA")</f>
        <v xml:space="preserve"> NA</v>
      </c>
      <c r="J449" t="s">
        <v>24</v>
      </c>
      <c r="K449">
        <v>2</v>
      </c>
      <c r="L449" s="3">
        <v>29390</v>
      </c>
      <c r="M449" t="s">
        <v>82</v>
      </c>
      <c r="N449" t="s">
        <v>79</v>
      </c>
      <c r="O449">
        <v>8.58</v>
      </c>
      <c r="P449" t="s">
        <v>51</v>
      </c>
      <c r="Q449" t="s">
        <v>36</v>
      </c>
      <c r="R449">
        <v>2018</v>
      </c>
      <c r="S449" t="str">
        <f>IF(AND(HR_Employees[[#This Row],[Attrition]]="YES",HR_Employees[[#This Row],[Exit_Date]]&lt;&gt;""),YEAR(HR_Employees[[#This Row],[Exit_Date]]),"")</f>
        <v/>
      </c>
    </row>
    <row r="450" spans="1:19">
      <c r="A450" t="s">
        <v>798</v>
      </c>
      <c r="B450" t="s">
        <v>726</v>
      </c>
      <c r="C450">
        <v>39</v>
      </c>
      <c r="D450" t="s">
        <v>61</v>
      </c>
      <c r="E450" t="s">
        <v>32</v>
      </c>
      <c r="F450" t="s">
        <v>47</v>
      </c>
      <c r="G450" t="s">
        <v>33</v>
      </c>
      <c r="H450" s="2">
        <v>45357</v>
      </c>
      <c r="I450" s="2" t="str">
        <f>IFERROR(VLOOKUP(HR_Employees[[#This Row],[Employee_ID]],'[1]Synthetic Exit Data'!$A$2:$E$235,4,0)," NA")</f>
        <v>2024-04-03</v>
      </c>
      <c r="J450" t="s">
        <v>49</v>
      </c>
      <c r="K450">
        <v>3</v>
      </c>
      <c r="L450" s="3">
        <v>52891</v>
      </c>
      <c r="M450" t="s">
        <v>34</v>
      </c>
      <c r="N450" t="s">
        <v>56</v>
      </c>
      <c r="O450">
        <v>2.5</v>
      </c>
      <c r="P450" t="s">
        <v>57</v>
      </c>
      <c r="Q450" t="s">
        <v>28</v>
      </c>
      <c r="R450">
        <v>2024</v>
      </c>
      <c r="S450">
        <f>IF(AND(HR_Employees[[#This Row],[Attrition]]="YES",HR_Employees[[#This Row],[Exit_Date]]&lt;&gt;""),YEAR(HR_Employees[[#This Row],[Exit_Date]]),"")</f>
        <v>2024</v>
      </c>
    </row>
    <row r="451" spans="1:19">
      <c r="A451" t="s">
        <v>799</v>
      </c>
      <c r="B451" t="s">
        <v>800</v>
      </c>
      <c r="C451">
        <v>23</v>
      </c>
      <c r="D451" t="s">
        <v>39</v>
      </c>
      <c r="E451" t="s">
        <v>32</v>
      </c>
      <c r="F451" t="s">
        <v>73</v>
      </c>
      <c r="G451" t="s">
        <v>23</v>
      </c>
      <c r="H451" s="2">
        <v>41042</v>
      </c>
      <c r="I451" s="2" t="str">
        <f>IFERROR(VLOOKUP(HR_Employees[[#This Row],[Employee_ID]],'[1]Synthetic Exit Data'!$A$2:$E$235,4,0)," NA")</f>
        <v xml:space="preserve"> NA</v>
      </c>
      <c r="J451" t="s">
        <v>24</v>
      </c>
      <c r="K451">
        <v>3</v>
      </c>
      <c r="L451" s="3">
        <v>40160</v>
      </c>
      <c r="M451" t="s">
        <v>42</v>
      </c>
      <c r="N451" t="s">
        <v>26</v>
      </c>
      <c r="O451">
        <v>14.42</v>
      </c>
      <c r="P451" t="s">
        <v>35</v>
      </c>
      <c r="Q451" t="s">
        <v>62</v>
      </c>
      <c r="R451">
        <v>2012</v>
      </c>
      <c r="S451" t="str">
        <f>IF(AND(HR_Employees[[#This Row],[Attrition]]="YES",HR_Employees[[#This Row],[Exit_Date]]&lt;&gt;""),YEAR(HR_Employees[[#This Row],[Exit_Date]]),"")</f>
        <v/>
      </c>
    </row>
    <row r="452" spans="1:19">
      <c r="A452" t="s">
        <v>801</v>
      </c>
      <c r="B452" t="s">
        <v>510</v>
      </c>
      <c r="C452">
        <v>24</v>
      </c>
      <c r="D452" t="s">
        <v>39</v>
      </c>
      <c r="E452" t="s">
        <v>21</v>
      </c>
      <c r="F452" t="s">
        <v>40</v>
      </c>
      <c r="G452" t="s">
        <v>23</v>
      </c>
      <c r="H452" s="2">
        <v>40952</v>
      </c>
      <c r="I452" s="2" t="str">
        <f>IFERROR(VLOOKUP(HR_Employees[[#This Row],[Employee_ID]],'[1]Synthetic Exit Data'!$A$2:$E$235,4,0)," NA")</f>
        <v xml:space="preserve"> NA</v>
      </c>
      <c r="J452" t="s">
        <v>24</v>
      </c>
      <c r="K452">
        <v>1</v>
      </c>
      <c r="L452" s="3">
        <v>38750</v>
      </c>
      <c r="M452" t="s">
        <v>42</v>
      </c>
      <c r="N452" t="s">
        <v>26</v>
      </c>
      <c r="O452">
        <v>14.67</v>
      </c>
      <c r="P452" t="s">
        <v>35</v>
      </c>
      <c r="Q452" t="s">
        <v>44</v>
      </c>
      <c r="R452">
        <v>2012</v>
      </c>
      <c r="S452" t="str">
        <f>IF(AND(HR_Employees[[#This Row],[Attrition]]="YES",HR_Employees[[#This Row],[Exit_Date]]&lt;&gt;""),YEAR(HR_Employees[[#This Row],[Exit_Date]]),"")</f>
        <v/>
      </c>
    </row>
    <row r="453" spans="1:19">
      <c r="A453" t="s">
        <v>802</v>
      </c>
      <c r="B453" t="s">
        <v>779</v>
      </c>
      <c r="C453">
        <v>27</v>
      </c>
      <c r="D453" t="s">
        <v>31</v>
      </c>
      <c r="E453" t="s">
        <v>32</v>
      </c>
      <c r="F453" t="s">
        <v>22</v>
      </c>
      <c r="G453" t="s">
        <v>33</v>
      </c>
      <c r="H453" s="2">
        <v>45425</v>
      </c>
      <c r="I453" s="2" t="str">
        <f>IFERROR(VLOOKUP(HR_Employees[[#This Row],[Employee_ID]],'[1]Synthetic Exit Data'!$A$2:$E$235,4,0)," NA")</f>
        <v xml:space="preserve"> NA</v>
      </c>
      <c r="J453" t="s">
        <v>24</v>
      </c>
      <c r="K453">
        <v>3</v>
      </c>
      <c r="L453" s="3">
        <v>26110</v>
      </c>
      <c r="M453" t="s">
        <v>82</v>
      </c>
      <c r="N453" t="s">
        <v>56</v>
      </c>
      <c r="O453">
        <v>2.42</v>
      </c>
      <c r="P453" t="s">
        <v>51</v>
      </c>
      <c r="Q453" t="s">
        <v>28</v>
      </c>
      <c r="R453">
        <v>2024</v>
      </c>
      <c r="S453" t="str">
        <f>IF(AND(HR_Employees[[#This Row],[Attrition]]="YES",HR_Employees[[#This Row],[Exit_Date]]&lt;&gt;""),YEAR(HR_Employees[[#This Row],[Exit_Date]]),"")</f>
        <v/>
      </c>
    </row>
    <row r="454" spans="1:19">
      <c r="A454" t="s">
        <v>803</v>
      </c>
      <c r="B454" t="s">
        <v>804</v>
      </c>
      <c r="C454">
        <v>31</v>
      </c>
      <c r="D454" t="s">
        <v>31</v>
      </c>
      <c r="E454" t="s">
        <v>21</v>
      </c>
      <c r="F454" t="s">
        <v>73</v>
      </c>
      <c r="G454" t="s">
        <v>23</v>
      </c>
      <c r="H454" s="2">
        <v>44694</v>
      </c>
      <c r="I454" s="2" t="str">
        <f>IFERROR(VLOOKUP(HR_Employees[[#This Row],[Employee_ID]],'[1]Synthetic Exit Data'!$A$2:$E$235,4,0)," NA")</f>
        <v xml:space="preserve"> NA</v>
      </c>
      <c r="J454" t="s">
        <v>24</v>
      </c>
      <c r="K454">
        <v>3</v>
      </c>
      <c r="L454" s="3">
        <v>46368</v>
      </c>
      <c r="M454" t="s">
        <v>42</v>
      </c>
      <c r="N454" t="s">
        <v>50</v>
      </c>
      <c r="O454">
        <v>4.42</v>
      </c>
      <c r="P454" t="s">
        <v>27</v>
      </c>
      <c r="Q454" t="s">
        <v>92</v>
      </c>
      <c r="R454">
        <v>2022</v>
      </c>
      <c r="S454" t="str">
        <f>IF(AND(HR_Employees[[#This Row],[Attrition]]="YES",HR_Employees[[#This Row],[Exit_Date]]&lt;&gt;""),YEAR(HR_Employees[[#This Row],[Exit_Date]]),"")</f>
        <v/>
      </c>
    </row>
    <row r="455" spans="1:19">
      <c r="A455" t="s">
        <v>805</v>
      </c>
      <c r="B455" t="s">
        <v>806</v>
      </c>
      <c r="C455">
        <v>62</v>
      </c>
      <c r="D455" t="s">
        <v>54</v>
      </c>
      <c r="E455" t="s">
        <v>21</v>
      </c>
      <c r="F455" t="s">
        <v>47</v>
      </c>
      <c r="G455" t="s">
        <v>23</v>
      </c>
      <c r="H455" s="2">
        <v>45456</v>
      </c>
      <c r="I455" s="2" t="str">
        <f>IFERROR(VLOOKUP(HR_Employees[[#This Row],[Employee_ID]],'[1]Synthetic Exit Data'!$A$2:$E$235,4,0)," NA")</f>
        <v xml:space="preserve"> NA</v>
      </c>
      <c r="J455" t="s">
        <v>24</v>
      </c>
      <c r="K455">
        <v>5</v>
      </c>
      <c r="L455" s="3">
        <v>53246</v>
      </c>
      <c r="M455" t="s">
        <v>34</v>
      </c>
      <c r="N455" t="s">
        <v>56</v>
      </c>
      <c r="O455">
        <v>2.33</v>
      </c>
      <c r="P455" t="s">
        <v>27</v>
      </c>
      <c r="Q455" t="s">
        <v>92</v>
      </c>
      <c r="R455">
        <v>2024</v>
      </c>
      <c r="S455" t="str">
        <f>IF(AND(HR_Employees[[#This Row],[Attrition]]="YES",HR_Employees[[#This Row],[Exit_Date]]&lt;&gt;""),YEAR(HR_Employees[[#This Row],[Exit_Date]]),"")</f>
        <v/>
      </c>
    </row>
    <row r="456" spans="1:19">
      <c r="A456" t="s">
        <v>807</v>
      </c>
      <c r="B456" t="s">
        <v>646</v>
      </c>
      <c r="C456">
        <v>29</v>
      </c>
      <c r="D456" t="s">
        <v>31</v>
      </c>
      <c r="E456" t="s">
        <v>21</v>
      </c>
      <c r="F456" t="s">
        <v>151</v>
      </c>
      <c r="G456" t="s">
        <v>23</v>
      </c>
      <c r="H456" s="2">
        <v>44908</v>
      </c>
      <c r="I456" s="2" t="str">
        <f>IFERROR(VLOOKUP(HR_Employees[[#This Row],[Employee_ID]],'[1]Synthetic Exit Data'!$A$2:$E$235,4,0)," NA")</f>
        <v xml:space="preserve"> NA</v>
      </c>
      <c r="J456" t="s">
        <v>24</v>
      </c>
      <c r="K456">
        <v>2</v>
      </c>
      <c r="L456" s="3">
        <v>22002</v>
      </c>
      <c r="M456" t="s">
        <v>82</v>
      </c>
      <c r="N456" t="s">
        <v>50</v>
      </c>
      <c r="O456">
        <v>3.83</v>
      </c>
      <c r="P456" t="s">
        <v>57</v>
      </c>
      <c r="Q456" t="s">
        <v>58</v>
      </c>
      <c r="R456">
        <v>2022</v>
      </c>
      <c r="S456" t="str">
        <f>IF(AND(HR_Employees[[#This Row],[Attrition]]="YES",HR_Employees[[#This Row],[Exit_Date]]&lt;&gt;""),YEAR(HR_Employees[[#This Row],[Exit_Date]]),"")</f>
        <v/>
      </c>
    </row>
    <row r="457" spans="1:19">
      <c r="A457" t="s">
        <v>808</v>
      </c>
      <c r="B457" t="s">
        <v>142</v>
      </c>
      <c r="C457">
        <v>34</v>
      </c>
      <c r="D457" t="s">
        <v>31</v>
      </c>
      <c r="E457" t="s">
        <v>32</v>
      </c>
      <c r="F457" t="s">
        <v>40</v>
      </c>
      <c r="G457" t="s">
        <v>33</v>
      </c>
      <c r="H457" s="2">
        <v>42393</v>
      </c>
      <c r="I457" s="2" t="str">
        <f>IFERROR(VLOOKUP(HR_Employees[[#This Row],[Employee_ID]],'[1]Synthetic Exit Data'!$A$2:$E$235,4,0)," NA")</f>
        <v>2017-11-07</v>
      </c>
      <c r="J457" t="s">
        <v>49</v>
      </c>
      <c r="K457">
        <v>2</v>
      </c>
      <c r="L457" s="3">
        <v>93914</v>
      </c>
      <c r="M457" t="s">
        <v>66</v>
      </c>
      <c r="N457" t="s">
        <v>26</v>
      </c>
      <c r="O457">
        <v>10.58</v>
      </c>
      <c r="P457" t="s">
        <v>57</v>
      </c>
      <c r="Q457" t="s">
        <v>76</v>
      </c>
      <c r="R457">
        <v>2016</v>
      </c>
      <c r="S457">
        <f>IF(AND(HR_Employees[[#This Row],[Attrition]]="YES",HR_Employees[[#This Row],[Exit_Date]]&lt;&gt;""),YEAR(HR_Employees[[#This Row],[Exit_Date]]),"")</f>
        <v>2017</v>
      </c>
    </row>
    <row r="458" spans="1:19">
      <c r="A458" t="s">
        <v>809</v>
      </c>
      <c r="B458" t="s">
        <v>98</v>
      </c>
      <c r="C458">
        <v>26</v>
      </c>
      <c r="D458" t="s">
        <v>31</v>
      </c>
      <c r="E458" t="s">
        <v>32</v>
      </c>
      <c r="F458" t="s">
        <v>47</v>
      </c>
      <c r="G458" t="s">
        <v>41</v>
      </c>
      <c r="H458" s="2">
        <v>43113</v>
      </c>
      <c r="I458" s="2" t="str">
        <f>IFERROR(VLOOKUP(HR_Employees[[#This Row],[Employee_ID]],'[1]Synthetic Exit Data'!$A$2:$E$235,4,0)," NA")</f>
        <v xml:space="preserve"> NA</v>
      </c>
      <c r="J458" t="s">
        <v>24</v>
      </c>
      <c r="K458">
        <v>3</v>
      </c>
      <c r="L458" s="3">
        <v>78976</v>
      </c>
      <c r="M458" t="s">
        <v>66</v>
      </c>
      <c r="N458" t="s">
        <v>79</v>
      </c>
      <c r="O458">
        <v>8.75</v>
      </c>
      <c r="P458" t="s">
        <v>27</v>
      </c>
      <c r="Q458" t="s">
        <v>36</v>
      </c>
      <c r="R458">
        <v>2018</v>
      </c>
      <c r="S458" t="str">
        <f>IF(AND(HR_Employees[[#This Row],[Attrition]]="YES",HR_Employees[[#This Row],[Exit_Date]]&lt;&gt;""),YEAR(HR_Employees[[#This Row],[Exit_Date]]),"")</f>
        <v/>
      </c>
    </row>
    <row r="459" spans="1:19">
      <c r="A459" t="s">
        <v>810</v>
      </c>
      <c r="B459" t="s">
        <v>364</v>
      </c>
      <c r="C459">
        <v>30</v>
      </c>
      <c r="D459" t="s">
        <v>31</v>
      </c>
      <c r="E459" t="s">
        <v>21</v>
      </c>
      <c r="F459" t="s">
        <v>22</v>
      </c>
      <c r="G459" t="s">
        <v>23</v>
      </c>
      <c r="H459" s="2">
        <v>44939</v>
      </c>
      <c r="I459" s="2" t="str">
        <f>IFERROR(VLOOKUP(HR_Employees[[#This Row],[Employee_ID]],'[1]Synthetic Exit Data'!$A$2:$E$235,4,0)," NA")</f>
        <v xml:space="preserve"> NA</v>
      </c>
      <c r="J459" t="s">
        <v>24</v>
      </c>
      <c r="K459">
        <v>4</v>
      </c>
      <c r="L459" s="3">
        <v>55387</v>
      </c>
      <c r="M459" t="s">
        <v>34</v>
      </c>
      <c r="N459" t="s">
        <v>50</v>
      </c>
      <c r="O459">
        <v>3.75</v>
      </c>
      <c r="P459" t="s">
        <v>35</v>
      </c>
      <c r="Q459" t="s">
        <v>92</v>
      </c>
      <c r="R459">
        <v>2023</v>
      </c>
      <c r="S459" t="str">
        <f>IF(AND(HR_Employees[[#This Row],[Attrition]]="YES",HR_Employees[[#This Row],[Exit_Date]]&lt;&gt;""),YEAR(HR_Employees[[#This Row],[Exit_Date]]),"")</f>
        <v/>
      </c>
    </row>
    <row r="460" spans="1:19">
      <c r="A460" t="s">
        <v>811</v>
      </c>
      <c r="B460" t="s">
        <v>192</v>
      </c>
      <c r="C460">
        <v>24</v>
      </c>
      <c r="D460" t="s">
        <v>39</v>
      </c>
      <c r="E460" t="s">
        <v>21</v>
      </c>
      <c r="F460" t="s">
        <v>151</v>
      </c>
      <c r="G460" t="s">
        <v>33</v>
      </c>
      <c r="H460" s="2">
        <v>41318</v>
      </c>
      <c r="I460" s="2" t="str">
        <f>IFERROR(VLOOKUP(HR_Employees[[#This Row],[Employee_ID]],'[1]Synthetic Exit Data'!$A$2:$E$235,4,0)," NA")</f>
        <v xml:space="preserve"> NA</v>
      </c>
      <c r="J460" t="s">
        <v>24</v>
      </c>
      <c r="K460">
        <v>5</v>
      </c>
      <c r="L460" s="3">
        <v>24675</v>
      </c>
      <c r="M460" t="s">
        <v>82</v>
      </c>
      <c r="N460" t="s">
        <v>26</v>
      </c>
      <c r="O460">
        <v>13.67</v>
      </c>
      <c r="P460" t="s">
        <v>35</v>
      </c>
      <c r="Q460" t="s">
        <v>58</v>
      </c>
      <c r="R460">
        <v>2013</v>
      </c>
      <c r="S460" t="str">
        <f>IF(AND(HR_Employees[[#This Row],[Attrition]]="YES",HR_Employees[[#This Row],[Exit_Date]]&lt;&gt;""),YEAR(HR_Employees[[#This Row],[Exit_Date]]),"")</f>
        <v/>
      </c>
    </row>
    <row r="461" spans="1:19">
      <c r="A461" t="s">
        <v>812</v>
      </c>
      <c r="B461" t="s">
        <v>261</v>
      </c>
      <c r="C461">
        <v>32</v>
      </c>
      <c r="D461" t="s">
        <v>31</v>
      </c>
      <c r="E461" t="s">
        <v>32</v>
      </c>
      <c r="F461" t="s">
        <v>55</v>
      </c>
      <c r="G461" t="s">
        <v>23</v>
      </c>
      <c r="H461" s="2">
        <v>46150</v>
      </c>
      <c r="I461" s="2" t="str">
        <f>IFERROR(VLOOKUP(HR_Employees[[#This Row],[Employee_ID]],'[1]Synthetic Exit Data'!$A$2:$E$235,4,0)," NA")</f>
        <v>2026-05-24</v>
      </c>
      <c r="J461" t="s">
        <v>49</v>
      </c>
      <c r="K461">
        <v>3</v>
      </c>
      <c r="L461" s="3">
        <v>167423</v>
      </c>
      <c r="M461" t="s">
        <v>25</v>
      </c>
      <c r="N461" t="s">
        <v>43</v>
      </c>
      <c r="O461">
        <v>0.33</v>
      </c>
      <c r="P461" t="s">
        <v>57</v>
      </c>
      <c r="Q461" t="s">
        <v>76</v>
      </c>
      <c r="R461">
        <v>2026</v>
      </c>
      <c r="S461">
        <f>IF(AND(HR_Employees[[#This Row],[Attrition]]="YES",HR_Employees[[#This Row],[Exit_Date]]&lt;&gt;""),YEAR(HR_Employees[[#This Row],[Exit_Date]]),"")</f>
        <v>2026</v>
      </c>
    </row>
    <row r="462" spans="1:19">
      <c r="A462" t="s">
        <v>813</v>
      </c>
      <c r="B462" t="s">
        <v>189</v>
      </c>
      <c r="C462">
        <v>36</v>
      </c>
      <c r="D462" t="s">
        <v>61</v>
      </c>
      <c r="E462" t="s">
        <v>21</v>
      </c>
      <c r="F462" t="s">
        <v>151</v>
      </c>
      <c r="G462" t="s">
        <v>23</v>
      </c>
      <c r="H462" s="2">
        <v>44725</v>
      </c>
      <c r="I462" s="2" t="str">
        <f>IFERROR(VLOOKUP(HR_Employees[[#This Row],[Employee_ID]],'[1]Synthetic Exit Data'!$A$2:$E$235,4,0)," NA")</f>
        <v xml:space="preserve"> NA</v>
      </c>
      <c r="J462" t="s">
        <v>24</v>
      </c>
      <c r="K462">
        <v>4</v>
      </c>
      <c r="L462" s="3">
        <v>52084</v>
      </c>
      <c r="M462" t="s">
        <v>34</v>
      </c>
      <c r="N462" t="s">
        <v>50</v>
      </c>
      <c r="O462">
        <v>4.33</v>
      </c>
      <c r="P462" t="s">
        <v>35</v>
      </c>
      <c r="Q462" t="s">
        <v>76</v>
      </c>
      <c r="R462">
        <v>2022</v>
      </c>
      <c r="S462" t="str">
        <f>IF(AND(HR_Employees[[#This Row],[Attrition]]="YES",HR_Employees[[#This Row],[Exit_Date]]&lt;&gt;""),YEAR(HR_Employees[[#This Row],[Exit_Date]]),"")</f>
        <v/>
      </c>
    </row>
    <row r="463" spans="1:19">
      <c r="A463" t="s">
        <v>814</v>
      </c>
      <c r="B463" t="s">
        <v>757</v>
      </c>
      <c r="C463">
        <v>31</v>
      </c>
      <c r="D463" t="s">
        <v>31</v>
      </c>
      <c r="E463" t="s">
        <v>21</v>
      </c>
      <c r="F463" t="s">
        <v>55</v>
      </c>
      <c r="G463" t="s">
        <v>48</v>
      </c>
      <c r="H463" s="2">
        <v>46216</v>
      </c>
      <c r="I463" s="2" t="str">
        <f>IFERROR(VLOOKUP(HR_Employees[[#This Row],[Employee_ID]],'[1]Synthetic Exit Data'!$A$2:$E$235,4,0)," NA")</f>
        <v xml:space="preserve"> NA</v>
      </c>
      <c r="J463" t="s">
        <v>24</v>
      </c>
      <c r="K463">
        <v>2</v>
      </c>
      <c r="L463" s="3">
        <v>71450</v>
      </c>
      <c r="M463" t="s">
        <v>34</v>
      </c>
      <c r="N463" t="s">
        <v>43</v>
      </c>
      <c r="O463">
        <v>0.25</v>
      </c>
      <c r="P463" t="s">
        <v>27</v>
      </c>
      <c r="Q463" t="s">
        <v>28</v>
      </c>
      <c r="R463">
        <v>2026</v>
      </c>
      <c r="S463" t="str">
        <f>IF(AND(HR_Employees[[#This Row],[Attrition]]="YES",HR_Employees[[#This Row],[Exit_Date]]&lt;&gt;""),YEAR(HR_Employees[[#This Row],[Exit_Date]]),"")</f>
        <v/>
      </c>
    </row>
    <row r="464" spans="1:19">
      <c r="A464" t="s">
        <v>815</v>
      </c>
      <c r="B464" t="s">
        <v>122</v>
      </c>
      <c r="C464">
        <v>56</v>
      </c>
      <c r="D464" t="s">
        <v>54</v>
      </c>
      <c r="E464" t="s">
        <v>21</v>
      </c>
      <c r="F464" t="s">
        <v>55</v>
      </c>
      <c r="G464" t="s">
        <v>33</v>
      </c>
      <c r="H464" s="2">
        <v>46094</v>
      </c>
      <c r="I464" s="2" t="str">
        <f>IFERROR(VLOOKUP(HR_Employees[[#This Row],[Employee_ID]],'[1]Synthetic Exit Data'!$A$2:$E$235,4,0)," NA")</f>
        <v xml:space="preserve"> NA</v>
      </c>
      <c r="J464" t="s">
        <v>24</v>
      </c>
      <c r="K464">
        <v>3</v>
      </c>
      <c r="L464" s="3">
        <v>134560</v>
      </c>
      <c r="M464" t="s">
        <v>25</v>
      </c>
      <c r="N464" t="s">
        <v>43</v>
      </c>
      <c r="O464">
        <v>0.57999999999999996</v>
      </c>
      <c r="P464" t="s">
        <v>57</v>
      </c>
      <c r="Q464" t="s">
        <v>44</v>
      </c>
      <c r="R464">
        <v>2026</v>
      </c>
      <c r="S464" t="str">
        <f>IF(AND(HR_Employees[[#This Row],[Attrition]]="YES",HR_Employees[[#This Row],[Exit_Date]]&lt;&gt;""),YEAR(HR_Employees[[#This Row],[Exit_Date]]),"")</f>
        <v/>
      </c>
    </row>
    <row r="465" spans="1:19">
      <c r="A465" t="s">
        <v>816</v>
      </c>
      <c r="B465" t="s">
        <v>817</v>
      </c>
      <c r="C465">
        <v>34</v>
      </c>
      <c r="D465" t="s">
        <v>31</v>
      </c>
      <c r="E465" t="s">
        <v>21</v>
      </c>
      <c r="F465" t="s">
        <v>22</v>
      </c>
      <c r="G465" t="s">
        <v>33</v>
      </c>
      <c r="H465" s="2">
        <v>45943</v>
      </c>
      <c r="I465" s="2" t="str">
        <f>IFERROR(VLOOKUP(HR_Employees[[#This Row],[Employee_ID]],'[1]Synthetic Exit Data'!$A$2:$E$235,4,0)," NA")</f>
        <v xml:space="preserve"> NA</v>
      </c>
      <c r="J465" t="s">
        <v>24</v>
      </c>
      <c r="K465">
        <v>4</v>
      </c>
      <c r="L465" s="3">
        <v>64224</v>
      </c>
      <c r="M465" t="s">
        <v>34</v>
      </c>
      <c r="N465" t="s">
        <v>43</v>
      </c>
      <c r="O465">
        <v>1</v>
      </c>
      <c r="P465" t="s">
        <v>35</v>
      </c>
      <c r="Q465" t="s">
        <v>76</v>
      </c>
      <c r="R465">
        <v>2025</v>
      </c>
      <c r="S465" t="str">
        <f>IF(AND(HR_Employees[[#This Row],[Attrition]]="YES",HR_Employees[[#This Row],[Exit_Date]]&lt;&gt;""),YEAR(HR_Employees[[#This Row],[Exit_Date]]),"")</f>
        <v/>
      </c>
    </row>
    <row r="466" spans="1:19">
      <c r="A466" t="s">
        <v>818</v>
      </c>
      <c r="B466" t="s">
        <v>819</v>
      </c>
      <c r="C466">
        <v>31</v>
      </c>
      <c r="D466" t="s">
        <v>31</v>
      </c>
      <c r="E466" t="s">
        <v>21</v>
      </c>
      <c r="F466" t="s">
        <v>109</v>
      </c>
      <c r="G466" t="s">
        <v>33</v>
      </c>
      <c r="H466" s="2">
        <v>46179</v>
      </c>
      <c r="I466" s="2" t="str">
        <f>IFERROR(VLOOKUP(HR_Employees[[#This Row],[Employee_ID]],'[1]Synthetic Exit Data'!$A$2:$E$235,4,0)," NA")</f>
        <v>2026-07-11</v>
      </c>
      <c r="J466" t="s">
        <v>49</v>
      </c>
      <c r="K466">
        <v>4</v>
      </c>
      <c r="L466" s="3">
        <v>69517</v>
      </c>
      <c r="M466" t="s">
        <v>34</v>
      </c>
      <c r="N466" t="s">
        <v>43</v>
      </c>
      <c r="O466">
        <v>0.33</v>
      </c>
      <c r="P466" t="s">
        <v>27</v>
      </c>
      <c r="Q466" t="s">
        <v>36</v>
      </c>
      <c r="R466">
        <v>2026</v>
      </c>
      <c r="S466">
        <f>IF(AND(HR_Employees[[#This Row],[Attrition]]="YES",HR_Employees[[#This Row],[Exit_Date]]&lt;&gt;""),YEAR(HR_Employees[[#This Row],[Exit_Date]]),"")</f>
        <v>2026</v>
      </c>
    </row>
    <row r="467" spans="1:19">
      <c r="A467" t="s">
        <v>820</v>
      </c>
      <c r="B467" t="s">
        <v>464</v>
      </c>
      <c r="C467">
        <v>21</v>
      </c>
      <c r="D467" t="s">
        <v>39</v>
      </c>
      <c r="E467" t="s">
        <v>32</v>
      </c>
      <c r="F467" t="s">
        <v>47</v>
      </c>
      <c r="G467" t="s">
        <v>33</v>
      </c>
      <c r="H467" s="2">
        <v>44664</v>
      </c>
      <c r="I467" s="2" t="str">
        <f>IFERROR(VLOOKUP(HR_Employees[[#This Row],[Employee_ID]],'[1]Synthetic Exit Data'!$A$2:$E$235,4,0)," NA")</f>
        <v xml:space="preserve"> NA</v>
      </c>
      <c r="J467" t="s">
        <v>24</v>
      </c>
      <c r="K467">
        <v>3</v>
      </c>
      <c r="L467" s="3">
        <v>27052</v>
      </c>
      <c r="M467" t="s">
        <v>82</v>
      </c>
      <c r="N467" t="s">
        <v>50</v>
      </c>
      <c r="O467">
        <v>4.5</v>
      </c>
      <c r="P467" t="s">
        <v>35</v>
      </c>
      <c r="Q467" t="s">
        <v>44</v>
      </c>
      <c r="R467">
        <v>2022</v>
      </c>
      <c r="S467" t="str">
        <f>IF(AND(HR_Employees[[#This Row],[Attrition]]="YES",HR_Employees[[#This Row],[Exit_Date]]&lt;&gt;""),YEAR(HR_Employees[[#This Row],[Exit_Date]]),"")</f>
        <v/>
      </c>
    </row>
    <row r="468" spans="1:19">
      <c r="A468" t="s">
        <v>821</v>
      </c>
      <c r="B468" t="s">
        <v>822</v>
      </c>
      <c r="C468">
        <v>32</v>
      </c>
      <c r="D468" t="s">
        <v>31</v>
      </c>
      <c r="E468" t="s">
        <v>32</v>
      </c>
      <c r="F468" t="s">
        <v>47</v>
      </c>
      <c r="G468" t="s">
        <v>33</v>
      </c>
      <c r="H468" s="2">
        <v>43629</v>
      </c>
      <c r="I468" s="2" t="str">
        <f>IFERROR(VLOOKUP(HR_Employees[[#This Row],[Employee_ID]],'[1]Synthetic Exit Data'!$A$2:$E$235,4,0)," NA")</f>
        <v xml:space="preserve"> NA</v>
      </c>
      <c r="J468" t="s">
        <v>24</v>
      </c>
      <c r="K468">
        <v>4</v>
      </c>
      <c r="L468" s="3">
        <v>34395</v>
      </c>
      <c r="M468" t="s">
        <v>42</v>
      </c>
      <c r="N468" t="s">
        <v>79</v>
      </c>
      <c r="O468">
        <v>7.33</v>
      </c>
      <c r="P468" t="s">
        <v>83</v>
      </c>
      <c r="Q468" t="s">
        <v>86</v>
      </c>
      <c r="R468">
        <v>2019</v>
      </c>
      <c r="S468" t="str">
        <f>IF(AND(HR_Employees[[#This Row],[Attrition]]="YES",HR_Employees[[#This Row],[Exit_Date]]&lt;&gt;""),YEAR(HR_Employees[[#This Row],[Exit_Date]]),"")</f>
        <v/>
      </c>
    </row>
    <row r="469" spans="1:19">
      <c r="A469" t="s">
        <v>823</v>
      </c>
      <c r="B469" t="s">
        <v>824</v>
      </c>
      <c r="C469">
        <v>57</v>
      </c>
      <c r="D469" t="s">
        <v>54</v>
      </c>
      <c r="E469" t="s">
        <v>32</v>
      </c>
      <c r="F469" t="s">
        <v>47</v>
      </c>
      <c r="G469" t="s">
        <v>23</v>
      </c>
      <c r="H469" s="2">
        <v>44664</v>
      </c>
      <c r="I469" s="2" t="str">
        <f>IFERROR(VLOOKUP(HR_Employees[[#This Row],[Employee_ID]],'[1]Synthetic Exit Data'!$A$2:$E$235,4,0)," NA")</f>
        <v xml:space="preserve"> NA</v>
      </c>
      <c r="J469" t="s">
        <v>24</v>
      </c>
      <c r="K469">
        <v>3</v>
      </c>
      <c r="L469" s="3">
        <v>64061</v>
      </c>
      <c r="M469" t="s">
        <v>34</v>
      </c>
      <c r="N469" t="s">
        <v>50</v>
      </c>
      <c r="O469">
        <v>4.5</v>
      </c>
      <c r="P469" t="s">
        <v>35</v>
      </c>
      <c r="Q469" t="s">
        <v>76</v>
      </c>
      <c r="R469">
        <v>2022</v>
      </c>
      <c r="S469" t="str">
        <f>IF(AND(HR_Employees[[#This Row],[Attrition]]="YES",HR_Employees[[#This Row],[Exit_Date]]&lt;&gt;""),YEAR(HR_Employees[[#This Row],[Exit_Date]]),"")</f>
        <v/>
      </c>
    </row>
    <row r="470" spans="1:19">
      <c r="A470" t="s">
        <v>825</v>
      </c>
      <c r="B470" t="s">
        <v>702</v>
      </c>
      <c r="C470">
        <v>48</v>
      </c>
      <c r="D470" t="s">
        <v>20</v>
      </c>
      <c r="E470" t="s">
        <v>21</v>
      </c>
      <c r="F470" t="s">
        <v>40</v>
      </c>
      <c r="G470" t="s">
        <v>23</v>
      </c>
      <c r="H470" s="2">
        <v>44970</v>
      </c>
      <c r="I470" s="2" t="str">
        <f>IFERROR(VLOOKUP(HR_Employees[[#This Row],[Employee_ID]],'[1]Synthetic Exit Data'!$A$2:$E$235,4,0)," NA")</f>
        <v xml:space="preserve"> NA</v>
      </c>
      <c r="J470" t="s">
        <v>24</v>
      </c>
      <c r="K470">
        <v>4</v>
      </c>
      <c r="L470" s="3">
        <v>98925</v>
      </c>
      <c r="M470" t="s">
        <v>66</v>
      </c>
      <c r="N470" t="s">
        <v>50</v>
      </c>
      <c r="O470">
        <v>3.67</v>
      </c>
      <c r="P470" t="s">
        <v>51</v>
      </c>
      <c r="Q470" t="s">
        <v>58</v>
      </c>
      <c r="R470">
        <v>2023</v>
      </c>
      <c r="S470" t="str">
        <f>IF(AND(HR_Employees[[#This Row],[Attrition]]="YES",HR_Employees[[#This Row],[Exit_Date]]&lt;&gt;""),YEAR(HR_Employees[[#This Row],[Exit_Date]]),"")</f>
        <v/>
      </c>
    </row>
    <row r="471" spans="1:19">
      <c r="A471" t="s">
        <v>826</v>
      </c>
      <c r="B471" t="s">
        <v>827</v>
      </c>
      <c r="C471">
        <v>42</v>
      </c>
      <c r="D471" t="s">
        <v>61</v>
      </c>
      <c r="E471" t="s">
        <v>21</v>
      </c>
      <c r="F471" t="s">
        <v>65</v>
      </c>
      <c r="G471" t="s">
        <v>41</v>
      </c>
      <c r="H471" s="2">
        <v>41530</v>
      </c>
      <c r="I471" s="2" t="str">
        <f>IFERROR(VLOOKUP(HR_Employees[[#This Row],[Employee_ID]],'[1]Synthetic Exit Data'!$A$2:$E$235,4,0)," NA")</f>
        <v xml:space="preserve"> NA</v>
      </c>
      <c r="J471" t="s">
        <v>24</v>
      </c>
      <c r="K471">
        <v>3</v>
      </c>
      <c r="L471" s="3">
        <v>44453</v>
      </c>
      <c r="M471" t="s">
        <v>42</v>
      </c>
      <c r="N471" t="s">
        <v>26</v>
      </c>
      <c r="O471">
        <v>13.08</v>
      </c>
      <c r="P471" t="s">
        <v>35</v>
      </c>
      <c r="Q471" t="s">
        <v>36</v>
      </c>
      <c r="R471">
        <v>2013</v>
      </c>
      <c r="S471" t="str">
        <f>IF(AND(HR_Employees[[#This Row],[Attrition]]="YES",HR_Employees[[#This Row],[Exit_Date]]&lt;&gt;""),YEAR(HR_Employees[[#This Row],[Exit_Date]]),"")</f>
        <v/>
      </c>
    </row>
    <row r="472" spans="1:19">
      <c r="A472" t="s">
        <v>828</v>
      </c>
      <c r="B472" t="s">
        <v>282</v>
      </c>
      <c r="C472">
        <v>44</v>
      </c>
      <c r="D472" t="s">
        <v>61</v>
      </c>
      <c r="E472" t="s">
        <v>21</v>
      </c>
      <c r="F472" t="s">
        <v>40</v>
      </c>
      <c r="G472" t="s">
        <v>23</v>
      </c>
      <c r="H472" s="2">
        <v>46278</v>
      </c>
      <c r="I472" s="2" t="str">
        <f>IFERROR(VLOOKUP(HR_Employees[[#This Row],[Employee_ID]],'[1]Synthetic Exit Data'!$A$2:$E$235,4,0)," NA")</f>
        <v xml:space="preserve"> NA</v>
      </c>
      <c r="J472" t="s">
        <v>24</v>
      </c>
      <c r="K472">
        <v>3</v>
      </c>
      <c r="L472" s="3">
        <v>49426</v>
      </c>
      <c r="M472" t="s">
        <v>42</v>
      </c>
      <c r="N472" t="s">
        <v>43</v>
      </c>
      <c r="O472">
        <v>0.08</v>
      </c>
      <c r="P472" t="s">
        <v>27</v>
      </c>
      <c r="Q472" t="s">
        <v>58</v>
      </c>
      <c r="R472">
        <v>2026</v>
      </c>
      <c r="S472" t="str">
        <f>IF(AND(HR_Employees[[#This Row],[Attrition]]="YES",HR_Employees[[#This Row],[Exit_Date]]&lt;&gt;""),YEAR(HR_Employees[[#This Row],[Exit_Date]]),"")</f>
        <v/>
      </c>
    </row>
    <row r="473" spans="1:19">
      <c r="A473" t="s">
        <v>829</v>
      </c>
      <c r="B473" t="s">
        <v>370</v>
      </c>
      <c r="C473">
        <v>57</v>
      </c>
      <c r="D473" t="s">
        <v>54</v>
      </c>
      <c r="E473" t="s">
        <v>21</v>
      </c>
      <c r="F473" t="s">
        <v>109</v>
      </c>
      <c r="G473" t="s">
        <v>33</v>
      </c>
      <c r="H473" s="2">
        <v>45623</v>
      </c>
      <c r="I473" s="2" t="str">
        <f>IFERROR(VLOOKUP(HR_Employees[[#This Row],[Employee_ID]],'[1]Synthetic Exit Data'!$A$2:$E$235,4,0)," NA")</f>
        <v>2024-12-04</v>
      </c>
      <c r="J473" t="s">
        <v>49</v>
      </c>
      <c r="K473">
        <v>1</v>
      </c>
      <c r="L473" s="3">
        <v>95470</v>
      </c>
      <c r="M473" t="s">
        <v>66</v>
      </c>
      <c r="N473" t="s">
        <v>56</v>
      </c>
      <c r="O473">
        <v>1.75</v>
      </c>
      <c r="P473" t="s">
        <v>57</v>
      </c>
      <c r="Q473" t="s">
        <v>92</v>
      </c>
      <c r="R473">
        <v>2024</v>
      </c>
      <c r="S473">
        <f>IF(AND(HR_Employees[[#This Row],[Attrition]]="YES",HR_Employees[[#This Row],[Exit_Date]]&lt;&gt;""),YEAR(HR_Employees[[#This Row],[Exit_Date]]),"")</f>
        <v>2024</v>
      </c>
    </row>
    <row r="474" spans="1:19">
      <c r="A474" t="s">
        <v>830</v>
      </c>
      <c r="B474" t="s">
        <v>831</v>
      </c>
      <c r="C474">
        <v>45</v>
      </c>
      <c r="D474" t="s">
        <v>61</v>
      </c>
      <c r="E474" t="s">
        <v>32</v>
      </c>
      <c r="F474" t="s">
        <v>109</v>
      </c>
      <c r="G474" t="s">
        <v>23</v>
      </c>
      <c r="H474" s="2">
        <v>44694</v>
      </c>
      <c r="I474" s="2" t="str">
        <f>IFERROR(VLOOKUP(HR_Employees[[#This Row],[Employee_ID]],'[1]Synthetic Exit Data'!$A$2:$E$235,4,0)," NA")</f>
        <v xml:space="preserve"> NA</v>
      </c>
      <c r="J474" t="s">
        <v>24</v>
      </c>
      <c r="K474">
        <v>4</v>
      </c>
      <c r="L474" s="3">
        <v>22603</v>
      </c>
      <c r="M474" t="s">
        <v>82</v>
      </c>
      <c r="N474" t="s">
        <v>50</v>
      </c>
      <c r="O474">
        <v>4.42</v>
      </c>
      <c r="P474" t="s">
        <v>27</v>
      </c>
      <c r="Q474" t="s">
        <v>44</v>
      </c>
      <c r="R474">
        <v>2022</v>
      </c>
      <c r="S474" t="str">
        <f>IF(AND(HR_Employees[[#This Row],[Attrition]]="YES",HR_Employees[[#This Row],[Exit_Date]]&lt;&gt;""),YEAR(HR_Employees[[#This Row],[Exit_Date]]),"")</f>
        <v/>
      </c>
    </row>
    <row r="475" spans="1:19">
      <c r="A475" t="s">
        <v>832</v>
      </c>
      <c r="B475" t="s">
        <v>833</v>
      </c>
      <c r="C475">
        <v>30</v>
      </c>
      <c r="D475" t="s">
        <v>31</v>
      </c>
      <c r="E475" t="s">
        <v>21</v>
      </c>
      <c r="F475" t="s">
        <v>109</v>
      </c>
      <c r="G475" t="s">
        <v>23</v>
      </c>
      <c r="H475" s="2">
        <v>44878</v>
      </c>
      <c r="I475" s="2" t="str">
        <f>IFERROR(VLOOKUP(HR_Employees[[#This Row],[Employee_ID]],'[1]Synthetic Exit Data'!$A$2:$E$235,4,0)," NA")</f>
        <v xml:space="preserve"> NA</v>
      </c>
      <c r="J475" t="s">
        <v>24</v>
      </c>
      <c r="K475">
        <v>3</v>
      </c>
      <c r="L475" s="3">
        <v>157201</v>
      </c>
      <c r="M475" t="s">
        <v>25</v>
      </c>
      <c r="N475" t="s">
        <v>50</v>
      </c>
      <c r="O475">
        <v>3.92</v>
      </c>
      <c r="P475" t="s">
        <v>83</v>
      </c>
      <c r="Q475" t="s">
        <v>58</v>
      </c>
      <c r="R475">
        <v>2022</v>
      </c>
      <c r="S475" t="str">
        <f>IF(AND(HR_Employees[[#This Row],[Attrition]]="YES",HR_Employees[[#This Row],[Exit_Date]]&lt;&gt;""),YEAR(HR_Employees[[#This Row],[Exit_Date]]),"")</f>
        <v/>
      </c>
    </row>
    <row r="476" spans="1:19">
      <c r="A476" t="s">
        <v>834</v>
      </c>
      <c r="B476" t="s">
        <v>499</v>
      </c>
      <c r="C476">
        <v>29</v>
      </c>
      <c r="D476" t="s">
        <v>31</v>
      </c>
      <c r="E476" t="s">
        <v>32</v>
      </c>
      <c r="F476" t="s">
        <v>55</v>
      </c>
      <c r="G476" t="s">
        <v>41</v>
      </c>
      <c r="H476" s="2">
        <v>45456</v>
      </c>
      <c r="I476" s="2" t="str">
        <f>IFERROR(VLOOKUP(HR_Employees[[#This Row],[Employee_ID]],'[1]Synthetic Exit Data'!$A$2:$E$235,4,0)," NA")</f>
        <v xml:space="preserve"> NA</v>
      </c>
      <c r="J476" t="s">
        <v>24</v>
      </c>
      <c r="K476">
        <v>2</v>
      </c>
      <c r="L476" s="3">
        <v>50051</v>
      </c>
      <c r="M476" t="s">
        <v>34</v>
      </c>
      <c r="N476" t="s">
        <v>56</v>
      </c>
      <c r="O476">
        <v>2.33</v>
      </c>
      <c r="P476" t="s">
        <v>35</v>
      </c>
      <c r="Q476" t="s">
        <v>28</v>
      </c>
      <c r="R476">
        <v>2024</v>
      </c>
      <c r="S476" t="str">
        <f>IF(AND(HR_Employees[[#This Row],[Attrition]]="YES",HR_Employees[[#This Row],[Exit_Date]]&lt;&gt;""),YEAR(HR_Employees[[#This Row],[Exit_Date]]),"")</f>
        <v/>
      </c>
    </row>
    <row r="477" spans="1:19">
      <c r="A477" t="s">
        <v>835</v>
      </c>
      <c r="B477" t="s">
        <v>611</v>
      </c>
      <c r="C477">
        <v>33</v>
      </c>
      <c r="D477" t="s">
        <v>31</v>
      </c>
      <c r="E477" t="s">
        <v>21</v>
      </c>
      <c r="F477" t="s">
        <v>40</v>
      </c>
      <c r="G477" t="s">
        <v>23</v>
      </c>
      <c r="H477" s="2">
        <v>45059</v>
      </c>
      <c r="I477" s="2" t="str">
        <f>IFERROR(VLOOKUP(HR_Employees[[#This Row],[Employee_ID]],'[1]Synthetic Exit Data'!$A$2:$E$235,4,0)," NA")</f>
        <v xml:space="preserve"> NA</v>
      </c>
      <c r="J477" t="s">
        <v>24</v>
      </c>
      <c r="K477">
        <v>3</v>
      </c>
      <c r="L477" s="3">
        <v>93574</v>
      </c>
      <c r="M477" t="s">
        <v>66</v>
      </c>
      <c r="N477" t="s">
        <v>50</v>
      </c>
      <c r="O477">
        <v>3.42</v>
      </c>
      <c r="P477" t="s">
        <v>57</v>
      </c>
      <c r="Q477" t="s">
        <v>62</v>
      </c>
      <c r="R477">
        <v>2023</v>
      </c>
      <c r="S477" t="str">
        <f>IF(AND(HR_Employees[[#This Row],[Attrition]]="YES",HR_Employees[[#This Row],[Exit_Date]]&lt;&gt;""),YEAR(HR_Employees[[#This Row],[Exit_Date]]),"")</f>
        <v/>
      </c>
    </row>
    <row r="478" spans="1:19">
      <c r="A478" t="s">
        <v>836</v>
      </c>
      <c r="B478" t="s">
        <v>332</v>
      </c>
      <c r="C478">
        <v>21</v>
      </c>
      <c r="D478" t="s">
        <v>39</v>
      </c>
      <c r="E478" t="s">
        <v>32</v>
      </c>
      <c r="F478" t="s">
        <v>55</v>
      </c>
      <c r="G478" t="s">
        <v>23</v>
      </c>
      <c r="H478" s="2">
        <v>44513</v>
      </c>
      <c r="I478" s="2" t="str">
        <f>IFERROR(VLOOKUP(HR_Employees[[#This Row],[Employee_ID]],'[1]Synthetic Exit Data'!$A$2:$E$235,4,0)," NA")</f>
        <v xml:space="preserve"> NA</v>
      </c>
      <c r="J478" t="s">
        <v>24</v>
      </c>
      <c r="K478">
        <v>3</v>
      </c>
      <c r="L478" s="3">
        <v>73724</v>
      </c>
      <c r="M478" t="s">
        <v>34</v>
      </c>
      <c r="N478" t="s">
        <v>50</v>
      </c>
      <c r="O478">
        <v>4.92</v>
      </c>
      <c r="P478" t="s">
        <v>51</v>
      </c>
      <c r="Q478" t="s">
        <v>58</v>
      </c>
      <c r="R478">
        <v>2021</v>
      </c>
      <c r="S478" t="str">
        <f>IF(AND(HR_Employees[[#This Row],[Attrition]]="YES",HR_Employees[[#This Row],[Exit_Date]]&lt;&gt;""),YEAR(HR_Employees[[#This Row],[Exit_Date]]),"")</f>
        <v/>
      </c>
    </row>
    <row r="479" spans="1:19">
      <c r="A479" t="s">
        <v>837</v>
      </c>
      <c r="B479" t="s">
        <v>558</v>
      </c>
      <c r="C479">
        <v>42</v>
      </c>
      <c r="D479" t="s">
        <v>61</v>
      </c>
      <c r="E479" t="s">
        <v>32</v>
      </c>
      <c r="F479" t="s">
        <v>151</v>
      </c>
      <c r="G479" t="s">
        <v>33</v>
      </c>
      <c r="H479" s="2">
        <v>45664</v>
      </c>
      <c r="I479" s="2" t="str">
        <f>IFERROR(VLOOKUP(HR_Employees[[#This Row],[Employee_ID]],'[1]Synthetic Exit Data'!$A$2:$E$235,4,0)," NA")</f>
        <v>2025-09-22</v>
      </c>
      <c r="J479" t="s">
        <v>49</v>
      </c>
      <c r="K479">
        <v>4</v>
      </c>
      <c r="L479" s="3">
        <v>19045</v>
      </c>
      <c r="M479" t="s">
        <v>82</v>
      </c>
      <c r="N479" t="s">
        <v>56</v>
      </c>
      <c r="O479">
        <v>1.67</v>
      </c>
      <c r="P479" t="s">
        <v>125</v>
      </c>
      <c r="Q479" t="s">
        <v>92</v>
      </c>
      <c r="R479">
        <v>2025</v>
      </c>
      <c r="S479">
        <f>IF(AND(HR_Employees[[#This Row],[Attrition]]="YES",HR_Employees[[#This Row],[Exit_Date]]&lt;&gt;""),YEAR(HR_Employees[[#This Row],[Exit_Date]]),"")</f>
        <v>2025</v>
      </c>
    </row>
    <row r="480" spans="1:19">
      <c r="A480" t="s">
        <v>838</v>
      </c>
      <c r="B480" t="s">
        <v>839</v>
      </c>
      <c r="C480">
        <v>29</v>
      </c>
      <c r="D480" t="s">
        <v>31</v>
      </c>
      <c r="E480" t="s">
        <v>21</v>
      </c>
      <c r="F480" t="s">
        <v>55</v>
      </c>
      <c r="G480" t="s">
        <v>48</v>
      </c>
      <c r="H480" s="2">
        <v>45609</v>
      </c>
      <c r="I480" s="2" t="str">
        <f>IFERROR(VLOOKUP(HR_Employees[[#This Row],[Employee_ID]],'[1]Synthetic Exit Data'!$A$2:$E$235,4,0)," NA")</f>
        <v xml:space="preserve"> NA</v>
      </c>
      <c r="J480" t="s">
        <v>24</v>
      </c>
      <c r="K480">
        <v>4</v>
      </c>
      <c r="L480" s="3">
        <v>56515</v>
      </c>
      <c r="M480" t="s">
        <v>34</v>
      </c>
      <c r="N480" t="s">
        <v>56</v>
      </c>
      <c r="O480">
        <v>1.92</v>
      </c>
      <c r="P480" t="s">
        <v>57</v>
      </c>
      <c r="Q480" t="s">
        <v>62</v>
      </c>
      <c r="R480">
        <v>2024</v>
      </c>
      <c r="S480" t="str">
        <f>IF(AND(HR_Employees[[#This Row],[Attrition]]="YES",HR_Employees[[#This Row],[Exit_Date]]&lt;&gt;""),YEAR(HR_Employees[[#This Row],[Exit_Date]]),"")</f>
        <v/>
      </c>
    </row>
    <row r="481" spans="1:19">
      <c r="A481" t="s">
        <v>840</v>
      </c>
      <c r="B481" t="s">
        <v>841</v>
      </c>
      <c r="C481">
        <v>27</v>
      </c>
      <c r="D481" t="s">
        <v>31</v>
      </c>
      <c r="E481" t="s">
        <v>21</v>
      </c>
      <c r="F481" t="s">
        <v>55</v>
      </c>
      <c r="G481" t="s">
        <v>23</v>
      </c>
      <c r="H481" s="2">
        <v>45151</v>
      </c>
      <c r="I481" s="2" t="str">
        <f>IFERROR(VLOOKUP(HR_Employees[[#This Row],[Employee_ID]],'[1]Synthetic Exit Data'!$A$2:$E$235,4,0)," NA")</f>
        <v xml:space="preserve"> NA</v>
      </c>
      <c r="J481" t="s">
        <v>24</v>
      </c>
      <c r="K481">
        <v>2</v>
      </c>
      <c r="L481" s="3">
        <v>42854</v>
      </c>
      <c r="M481" t="s">
        <v>42</v>
      </c>
      <c r="N481" t="s">
        <v>50</v>
      </c>
      <c r="O481">
        <v>3.17</v>
      </c>
      <c r="P481" t="s">
        <v>35</v>
      </c>
      <c r="Q481" t="s">
        <v>58</v>
      </c>
      <c r="R481">
        <v>2023</v>
      </c>
      <c r="S481" t="str">
        <f>IF(AND(HR_Employees[[#This Row],[Attrition]]="YES",HR_Employees[[#This Row],[Exit_Date]]&lt;&gt;""),YEAR(HR_Employees[[#This Row],[Exit_Date]]),"")</f>
        <v/>
      </c>
    </row>
    <row r="482" spans="1:19">
      <c r="A482" t="s">
        <v>842</v>
      </c>
      <c r="B482" t="s">
        <v>843</v>
      </c>
      <c r="C482">
        <v>21</v>
      </c>
      <c r="D482" t="s">
        <v>39</v>
      </c>
      <c r="E482" t="s">
        <v>21</v>
      </c>
      <c r="F482" t="s">
        <v>40</v>
      </c>
      <c r="G482" t="s">
        <v>33</v>
      </c>
      <c r="H482" s="2">
        <v>44871</v>
      </c>
      <c r="I482" s="2" t="str">
        <f>IFERROR(VLOOKUP(HR_Employees[[#This Row],[Employee_ID]],'[1]Synthetic Exit Data'!$A$2:$E$235,4,0)," NA")</f>
        <v>2023-03-27</v>
      </c>
      <c r="J482" t="s">
        <v>49</v>
      </c>
      <c r="K482">
        <v>4</v>
      </c>
      <c r="L482" s="3">
        <v>18122</v>
      </c>
      <c r="M482" t="s">
        <v>82</v>
      </c>
      <c r="N482" t="s">
        <v>50</v>
      </c>
      <c r="O482">
        <v>3.92</v>
      </c>
      <c r="P482" t="s">
        <v>27</v>
      </c>
      <c r="Q482" t="s">
        <v>28</v>
      </c>
      <c r="R482">
        <v>2022</v>
      </c>
      <c r="S482">
        <f>IF(AND(HR_Employees[[#This Row],[Attrition]]="YES",HR_Employees[[#This Row],[Exit_Date]]&lt;&gt;""),YEAR(HR_Employees[[#This Row],[Exit_Date]]),"")</f>
        <v>2023</v>
      </c>
    </row>
    <row r="483" spans="1:19">
      <c r="A483" t="s">
        <v>844</v>
      </c>
      <c r="B483" t="s">
        <v>680</v>
      </c>
      <c r="C483">
        <v>43</v>
      </c>
      <c r="D483" t="s">
        <v>61</v>
      </c>
      <c r="E483" t="s">
        <v>32</v>
      </c>
      <c r="F483" t="s">
        <v>109</v>
      </c>
      <c r="G483" t="s">
        <v>23</v>
      </c>
      <c r="H483" s="2">
        <v>45851</v>
      </c>
      <c r="I483" s="2" t="str">
        <f>IFERROR(VLOOKUP(HR_Employees[[#This Row],[Employee_ID]],'[1]Synthetic Exit Data'!$A$2:$E$235,4,0)," NA")</f>
        <v xml:space="preserve"> NA</v>
      </c>
      <c r="J483" t="s">
        <v>24</v>
      </c>
      <c r="K483">
        <v>4</v>
      </c>
      <c r="L483" s="3">
        <v>116462</v>
      </c>
      <c r="M483" t="s">
        <v>25</v>
      </c>
      <c r="N483" t="s">
        <v>56</v>
      </c>
      <c r="O483">
        <v>1.25</v>
      </c>
      <c r="P483" t="s">
        <v>27</v>
      </c>
      <c r="Q483" t="s">
        <v>62</v>
      </c>
      <c r="R483">
        <v>2025</v>
      </c>
      <c r="S483" t="str">
        <f>IF(AND(HR_Employees[[#This Row],[Attrition]]="YES",HR_Employees[[#This Row],[Exit_Date]]&lt;&gt;""),YEAR(HR_Employees[[#This Row],[Exit_Date]]),"")</f>
        <v/>
      </c>
    </row>
    <row r="484" spans="1:19">
      <c r="A484" t="s">
        <v>845</v>
      </c>
      <c r="B484" t="s">
        <v>350</v>
      </c>
      <c r="C484">
        <v>53</v>
      </c>
      <c r="D484" t="s">
        <v>20</v>
      </c>
      <c r="E484" t="s">
        <v>32</v>
      </c>
      <c r="F484" t="s">
        <v>47</v>
      </c>
      <c r="G484" t="s">
        <v>33</v>
      </c>
      <c r="H484" s="2">
        <v>46247</v>
      </c>
      <c r="I484" s="2" t="str">
        <f>IFERROR(VLOOKUP(HR_Employees[[#This Row],[Employee_ID]],'[1]Synthetic Exit Data'!$A$2:$E$235,4,0)," NA")</f>
        <v xml:space="preserve"> NA</v>
      </c>
      <c r="J484" t="s">
        <v>24</v>
      </c>
      <c r="K484">
        <v>4</v>
      </c>
      <c r="L484" s="3">
        <v>69579</v>
      </c>
      <c r="M484" t="s">
        <v>34</v>
      </c>
      <c r="N484" t="s">
        <v>43</v>
      </c>
      <c r="O484">
        <v>0.17</v>
      </c>
      <c r="P484" t="s">
        <v>125</v>
      </c>
      <c r="Q484" t="s">
        <v>92</v>
      </c>
      <c r="R484">
        <v>2026</v>
      </c>
      <c r="S484" t="str">
        <f>IF(AND(HR_Employees[[#This Row],[Attrition]]="YES",HR_Employees[[#This Row],[Exit_Date]]&lt;&gt;""),YEAR(HR_Employees[[#This Row],[Exit_Date]]),"")</f>
        <v/>
      </c>
    </row>
    <row r="485" spans="1:19">
      <c r="A485" t="s">
        <v>846</v>
      </c>
      <c r="B485" t="s">
        <v>330</v>
      </c>
      <c r="C485">
        <v>51</v>
      </c>
      <c r="D485" t="s">
        <v>20</v>
      </c>
      <c r="E485" t="s">
        <v>32</v>
      </c>
      <c r="F485" t="s">
        <v>22</v>
      </c>
      <c r="G485" t="s">
        <v>23</v>
      </c>
      <c r="H485" s="2">
        <v>43203</v>
      </c>
      <c r="I485" s="2" t="str">
        <f>IFERROR(VLOOKUP(HR_Employees[[#This Row],[Employee_ID]],'[1]Synthetic Exit Data'!$A$2:$E$235,4,0)," NA")</f>
        <v xml:space="preserve"> NA</v>
      </c>
      <c r="J485" t="s">
        <v>24</v>
      </c>
      <c r="K485">
        <v>4</v>
      </c>
      <c r="L485" s="3">
        <v>85888</v>
      </c>
      <c r="M485" t="s">
        <v>66</v>
      </c>
      <c r="N485" t="s">
        <v>79</v>
      </c>
      <c r="O485">
        <v>8.5</v>
      </c>
      <c r="P485" t="s">
        <v>27</v>
      </c>
      <c r="Q485" t="s">
        <v>36</v>
      </c>
      <c r="R485">
        <v>2018</v>
      </c>
      <c r="S485" t="str">
        <f>IF(AND(HR_Employees[[#This Row],[Attrition]]="YES",HR_Employees[[#This Row],[Exit_Date]]&lt;&gt;""),YEAR(HR_Employees[[#This Row],[Exit_Date]]),"")</f>
        <v/>
      </c>
    </row>
    <row r="486" spans="1:19">
      <c r="A486" t="s">
        <v>847</v>
      </c>
      <c r="B486" t="s">
        <v>848</v>
      </c>
      <c r="C486">
        <v>38</v>
      </c>
      <c r="D486" t="s">
        <v>61</v>
      </c>
      <c r="E486" t="s">
        <v>21</v>
      </c>
      <c r="F486" t="s">
        <v>109</v>
      </c>
      <c r="G486" t="s">
        <v>23</v>
      </c>
      <c r="H486" s="2">
        <v>42503</v>
      </c>
      <c r="I486" s="2" t="str">
        <f>IFERROR(VLOOKUP(HR_Employees[[#This Row],[Employee_ID]],'[1]Synthetic Exit Data'!$A$2:$E$235,4,0)," NA")</f>
        <v xml:space="preserve"> NA</v>
      </c>
      <c r="J486" t="s">
        <v>24</v>
      </c>
      <c r="K486">
        <v>1</v>
      </c>
      <c r="L486" s="3">
        <v>64601</v>
      </c>
      <c r="M486" t="s">
        <v>34</v>
      </c>
      <c r="N486" t="s">
        <v>26</v>
      </c>
      <c r="O486">
        <v>10.42</v>
      </c>
      <c r="P486" t="s">
        <v>27</v>
      </c>
      <c r="Q486" t="s">
        <v>44</v>
      </c>
      <c r="R486">
        <v>2016</v>
      </c>
      <c r="S486" t="str">
        <f>IF(AND(HR_Employees[[#This Row],[Attrition]]="YES",HR_Employees[[#This Row],[Exit_Date]]&lt;&gt;""),YEAR(HR_Employees[[#This Row],[Exit_Date]]),"")</f>
        <v/>
      </c>
    </row>
    <row r="487" spans="1:19">
      <c r="A487" t="s">
        <v>849</v>
      </c>
      <c r="B487" t="s">
        <v>619</v>
      </c>
      <c r="C487">
        <v>23</v>
      </c>
      <c r="D487" t="s">
        <v>39</v>
      </c>
      <c r="E487" t="s">
        <v>21</v>
      </c>
      <c r="F487" t="s">
        <v>40</v>
      </c>
      <c r="G487" t="s">
        <v>33</v>
      </c>
      <c r="H487" s="2">
        <v>46228</v>
      </c>
      <c r="I487" s="2" t="str">
        <f>IFERROR(VLOOKUP(HR_Employees[[#This Row],[Employee_ID]],'[1]Synthetic Exit Data'!$A$2:$E$235,4,0)," NA")</f>
        <v>2026-09-15</v>
      </c>
      <c r="J487" t="s">
        <v>49</v>
      </c>
      <c r="K487">
        <v>2</v>
      </c>
      <c r="L487" s="3">
        <v>47915</v>
      </c>
      <c r="M487" t="s">
        <v>42</v>
      </c>
      <c r="N487" t="s">
        <v>43</v>
      </c>
      <c r="O487">
        <v>0.17</v>
      </c>
      <c r="P487" t="s">
        <v>35</v>
      </c>
      <c r="Q487" t="s">
        <v>86</v>
      </c>
      <c r="R487">
        <v>2026</v>
      </c>
      <c r="S487">
        <f>IF(AND(HR_Employees[[#This Row],[Attrition]]="YES",HR_Employees[[#This Row],[Exit_Date]]&lt;&gt;""),YEAR(HR_Employees[[#This Row],[Exit_Date]]),"")</f>
        <v>2026</v>
      </c>
    </row>
    <row r="488" spans="1:19">
      <c r="A488" t="s">
        <v>850</v>
      </c>
      <c r="B488" t="s">
        <v>851</v>
      </c>
      <c r="C488">
        <v>42</v>
      </c>
      <c r="D488" t="s">
        <v>61</v>
      </c>
      <c r="E488" t="s">
        <v>21</v>
      </c>
      <c r="F488" t="s">
        <v>73</v>
      </c>
      <c r="G488" t="s">
        <v>48</v>
      </c>
      <c r="H488" s="2">
        <v>45569</v>
      </c>
      <c r="I488" s="2" t="str">
        <f>IFERROR(VLOOKUP(HR_Employees[[#This Row],[Employee_ID]],'[1]Synthetic Exit Data'!$A$2:$E$235,4,0)," NA")</f>
        <v>2024-11-18</v>
      </c>
      <c r="J488" t="s">
        <v>49</v>
      </c>
      <c r="K488">
        <v>2</v>
      </c>
      <c r="L488" s="3">
        <v>28906</v>
      </c>
      <c r="M488" t="s">
        <v>82</v>
      </c>
      <c r="N488" t="s">
        <v>56</v>
      </c>
      <c r="O488">
        <v>1.83</v>
      </c>
      <c r="P488" t="s">
        <v>51</v>
      </c>
      <c r="Q488" t="s">
        <v>62</v>
      </c>
      <c r="R488">
        <v>2024</v>
      </c>
      <c r="S488">
        <f>IF(AND(HR_Employees[[#This Row],[Attrition]]="YES",HR_Employees[[#This Row],[Exit_Date]]&lt;&gt;""),YEAR(HR_Employees[[#This Row],[Exit_Date]]),"")</f>
        <v>2024</v>
      </c>
    </row>
    <row r="489" spans="1:19">
      <c r="A489" t="s">
        <v>852</v>
      </c>
      <c r="B489" t="s">
        <v>853</v>
      </c>
      <c r="C489">
        <v>32</v>
      </c>
      <c r="D489" t="s">
        <v>31</v>
      </c>
      <c r="E489" t="s">
        <v>21</v>
      </c>
      <c r="F489" t="s">
        <v>55</v>
      </c>
      <c r="G489" t="s">
        <v>33</v>
      </c>
      <c r="H489" s="2">
        <v>44786</v>
      </c>
      <c r="I489" s="2" t="str">
        <f>IFERROR(VLOOKUP(HR_Employees[[#This Row],[Employee_ID]],'[1]Synthetic Exit Data'!$A$2:$E$235,4,0)," NA")</f>
        <v xml:space="preserve"> NA</v>
      </c>
      <c r="J489" t="s">
        <v>24</v>
      </c>
      <c r="K489">
        <v>5</v>
      </c>
      <c r="L489" s="3">
        <v>21064</v>
      </c>
      <c r="M489" t="s">
        <v>82</v>
      </c>
      <c r="N489" t="s">
        <v>50</v>
      </c>
      <c r="O489">
        <v>4.17</v>
      </c>
      <c r="P489" t="s">
        <v>35</v>
      </c>
      <c r="Q489" t="s">
        <v>62</v>
      </c>
      <c r="R489">
        <v>2022</v>
      </c>
      <c r="S489" t="str">
        <f>IF(AND(HR_Employees[[#This Row],[Attrition]]="YES",HR_Employees[[#This Row],[Exit_Date]]&lt;&gt;""),YEAR(HR_Employees[[#This Row],[Exit_Date]]),"")</f>
        <v/>
      </c>
    </row>
    <row r="490" spans="1:19">
      <c r="A490" t="s">
        <v>854</v>
      </c>
      <c r="B490" t="s">
        <v>348</v>
      </c>
      <c r="C490">
        <v>50</v>
      </c>
      <c r="D490" t="s">
        <v>20</v>
      </c>
      <c r="E490" t="s">
        <v>21</v>
      </c>
      <c r="F490" t="s">
        <v>55</v>
      </c>
      <c r="G490" t="s">
        <v>23</v>
      </c>
      <c r="H490" s="2">
        <v>44815</v>
      </c>
      <c r="I490" s="2" t="str">
        <f>IFERROR(VLOOKUP(HR_Employees[[#This Row],[Employee_ID]],'[1]Synthetic Exit Data'!$A$2:$E$235,4,0)," NA")</f>
        <v>2022-12-05</v>
      </c>
      <c r="J490" t="s">
        <v>49</v>
      </c>
      <c r="K490">
        <v>3</v>
      </c>
      <c r="L490" s="3">
        <v>65683</v>
      </c>
      <c r="M490" t="s">
        <v>34</v>
      </c>
      <c r="N490" t="s">
        <v>50</v>
      </c>
      <c r="O490">
        <v>4.08</v>
      </c>
      <c r="P490" t="s">
        <v>27</v>
      </c>
      <c r="Q490" t="s">
        <v>86</v>
      </c>
      <c r="R490">
        <v>2022</v>
      </c>
      <c r="S490">
        <f>IF(AND(HR_Employees[[#This Row],[Attrition]]="YES",HR_Employees[[#This Row],[Exit_Date]]&lt;&gt;""),YEAR(HR_Employees[[#This Row],[Exit_Date]]),"")</f>
        <v>2022</v>
      </c>
    </row>
    <row r="491" spans="1:19">
      <c r="A491" t="s">
        <v>855</v>
      </c>
      <c r="B491" t="s">
        <v>169</v>
      </c>
      <c r="C491">
        <v>24</v>
      </c>
      <c r="D491" t="s">
        <v>39</v>
      </c>
      <c r="E491" t="s">
        <v>32</v>
      </c>
      <c r="F491" t="s">
        <v>47</v>
      </c>
      <c r="G491" t="s">
        <v>23</v>
      </c>
      <c r="H491" s="2">
        <v>45609</v>
      </c>
      <c r="I491" s="2" t="str">
        <f>IFERROR(VLOOKUP(HR_Employees[[#This Row],[Employee_ID]],'[1]Synthetic Exit Data'!$A$2:$E$235,4,0)," NA")</f>
        <v xml:space="preserve"> NA</v>
      </c>
      <c r="J491" t="s">
        <v>24</v>
      </c>
      <c r="K491">
        <v>4</v>
      </c>
      <c r="L491" s="3">
        <v>65069</v>
      </c>
      <c r="M491" t="s">
        <v>34</v>
      </c>
      <c r="N491" t="s">
        <v>56</v>
      </c>
      <c r="O491">
        <v>1.92</v>
      </c>
      <c r="P491" t="s">
        <v>57</v>
      </c>
      <c r="Q491" t="s">
        <v>28</v>
      </c>
      <c r="R491">
        <v>2024</v>
      </c>
      <c r="S491" t="str">
        <f>IF(AND(HR_Employees[[#This Row],[Attrition]]="YES",HR_Employees[[#This Row],[Exit_Date]]&lt;&gt;""),YEAR(HR_Employees[[#This Row],[Exit_Date]]),"")</f>
        <v/>
      </c>
    </row>
    <row r="492" spans="1:19">
      <c r="A492" t="s">
        <v>856</v>
      </c>
      <c r="B492" t="s">
        <v>857</v>
      </c>
      <c r="C492">
        <v>22</v>
      </c>
      <c r="D492" t="s">
        <v>39</v>
      </c>
      <c r="E492" t="s">
        <v>21</v>
      </c>
      <c r="F492" t="s">
        <v>40</v>
      </c>
      <c r="G492" t="s">
        <v>23</v>
      </c>
      <c r="H492" s="2">
        <v>45592</v>
      </c>
      <c r="I492" s="2" t="str">
        <f>IFERROR(VLOOKUP(HR_Employees[[#This Row],[Employee_ID]],'[1]Synthetic Exit Data'!$A$2:$E$235,4,0)," NA")</f>
        <v>2024-12-29</v>
      </c>
      <c r="J492" t="s">
        <v>49</v>
      </c>
      <c r="K492">
        <v>4</v>
      </c>
      <c r="L492" s="3">
        <v>73639</v>
      </c>
      <c r="M492" t="s">
        <v>34</v>
      </c>
      <c r="N492" t="s">
        <v>56</v>
      </c>
      <c r="O492">
        <v>1.83</v>
      </c>
      <c r="P492" t="s">
        <v>35</v>
      </c>
      <c r="Q492" t="s">
        <v>92</v>
      </c>
      <c r="R492">
        <v>2024</v>
      </c>
      <c r="S492">
        <f>IF(AND(HR_Employees[[#This Row],[Attrition]]="YES",HR_Employees[[#This Row],[Exit_Date]]&lt;&gt;""),YEAR(HR_Employees[[#This Row],[Exit_Date]]),"")</f>
        <v>2024</v>
      </c>
    </row>
    <row r="493" spans="1:19">
      <c r="A493" t="s">
        <v>858</v>
      </c>
      <c r="B493" t="s">
        <v>619</v>
      </c>
      <c r="C493">
        <v>21</v>
      </c>
      <c r="D493" t="s">
        <v>39</v>
      </c>
      <c r="E493" t="s">
        <v>32</v>
      </c>
      <c r="F493" t="s">
        <v>109</v>
      </c>
      <c r="G493" t="s">
        <v>33</v>
      </c>
      <c r="H493" s="2">
        <v>45913</v>
      </c>
      <c r="I493" s="2" t="str">
        <f>IFERROR(VLOOKUP(HR_Employees[[#This Row],[Employee_ID]],'[1]Synthetic Exit Data'!$A$2:$E$235,4,0)," NA")</f>
        <v xml:space="preserve"> NA</v>
      </c>
      <c r="J493" t="s">
        <v>24</v>
      </c>
      <c r="K493">
        <v>2</v>
      </c>
      <c r="L493" s="3">
        <v>45514</v>
      </c>
      <c r="M493" t="s">
        <v>42</v>
      </c>
      <c r="N493" t="s">
        <v>56</v>
      </c>
      <c r="O493">
        <v>1.08</v>
      </c>
      <c r="P493" t="s">
        <v>51</v>
      </c>
      <c r="Q493" t="s">
        <v>86</v>
      </c>
      <c r="R493">
        <v>2025</v>
      </c>
      <c r="S493" t="str">
        <f>IF(AND(HR_Employees[[#This Row],[Attrition]]="YES",HR_Employees[[#This Row],[Exit_Date]]&lt;&gt;""),YEAR(HR_Employees[[#This Row],[Exit_Date]]),"")</f>
        <v/>
      </c>
    </row>
    <row r="494" spans="1:19">
      <c r="A494" t="s">
        <v>859</v>
      </c>
      <c r="B494" t="s">
        <v>761</v>
      </c>
      <c r="C494">
        <v>30</v>
      </c>
      <c r="D494" t="s">
        <v>31</v>
      </c>
      <c r="E494" t="s">
        <v>32</v>
      </c>
      <c r="F494" t="s">
        <v>40</v>
      </c>
      <c r="G494" t="s">
        <v>23</v>
      </c>
      <c r="H494" s="2">
        <v>45729</v>
      </c>
      <c r="I494" s="2" t="str">
        <f>IFERROR(VLOOKUP(HR_Employees[[#This Row],[Employee_ID]],'[1]Synthetic Exit Data'!$A$2:$E$235,4,0)," NA")</f>
        <v xml:space="preserve"> NA</v>
      </c>
      <c r="J494" t="s">
        <v>24</v>
      </c>
      <c r="K494">
        <v>4</v>
      </c>
      <c r="L494" s="3">
        <v>156083</v>
      </c>
      <c r="M494" t="s">
        <v>25</v>
      </c>
      <c r="N494" t="s">
        <v>56</v>
      </c>
      <c r="O494">
        <v>1.58</v>
      </c>
      <c r="P494" t="s">
        <v>57</v>
      </c>
      <c r="Q494" t="s">
        <v>44</v>
      </c>
      <c r="R494">
        <v>2025</v>
      </c>
      <c r="S494" t="str">
        <f>IF(AND(HR_Employees[[#This Row],[Attrition]]="YES",HR_Employees[[#This Row],[Exit_Date]]&lt;&gt;""),YEAR(HR_Employees[[#This Row],[Exit_Date]]),"")</f>
        <v/>
      </c>
    </row>
    <row r="495" spans="1:19">
      <c r="A495" t="s">
        <v>860</v>
      </c>
      <c r="B495" t="s">
        <v>839</v>
      </c>
      <c r="C495">
        <v>43</v>
      </c>
      <c r="D495" t="s">
        <v>61</v>
      </c>
      <c r="E495" t="s">
        <v>21</v>
      </c>
      <c r="F495" t="s">
        <v>55</v>
      </c>
      <c r="G495" t="s">
        <v>114</v>
      </c>
      <c r="H495" s="2">
        <v>45669</v>
      </c>
      <c r="I495" s="2" t="str">
        <f>IFERROR(VLOOKUP(HR_Employees[[#This Row],[Employee_ID]],'[1]Synthetic Exit Data'!$A$2:$E$235,4,0)," NA")</f>
        <v>2025-06-21</v>
      </c>
      <c r="J495" t="s">
        <v>49</v>
      </c>
      <c r="K495">
        <v>3</v>
      </c>
      <c r="L495" s="3">
        <v>42469</v>
      </c>
      <c r="M495" t="s">
        <v>42</v>
      </c>
      <c r="N495" t="s">
        <v>56</v>
      </c>
      <c r="O495">
        <v>1.75</v>
      </c>
      <c r="P495" t="s">
        <v>57</v>
      </c>
      <c r="Q495" t="s">
        <v>44</v>
      </c>
      <c r="R495">
        <v>2025</v>
      </c>
      <c r="S495">
        <f>IF(AND(HR_Employees[[#This Row],[Attrition]]="YES",HR_Employees[[#This Row],[Exit_Date]]&lt;&gt;""),YEAR(HR_Employees[[#This Row],[Exit_Date]]),"")</f>
        <v>2025</v>
      </c>
    </row>
    <row r="496" spans="1:19">
      <c r="A496" t="s">
        <v>861</v>
      </c>
      <c r="B496" t="s">
        <v>666</v>
      </c>
      <c r="C496">
        <v>57</v>
      </c>
      <c r="D496" t="s">
        <v>54</v>
      </c>
      <c r="E496" t="s">
        <v>21</v>
      </c>
      <c r="F496" t="s">
        <v>47</v>
      </c>
      <c r="G496" t="s">
        <v>23</v>
      </c>
      <c r="H496" s="2">
        <v>43294</v>
      </c>
      <c r="I496" s="2" t="str">
        <f>IFERROR(VLOOKUP(HR_Employees[[#This Row],[Employee_ID]],'[1]Synthetic Exit Data'!$A$2:$E$235,4,0)," NA")</f>
        <v xml:space="preserve"> NA</v>
      </c>
      <c r="J496" t="s">
        <v>24</v>
      </c>
      <c r="K496">
        <v>2</v>
      </c>
      <c r="L496" s="3">
        <v>53060</v>
      </c>
      <c r="M496" t="s">
        <v>34</v>
      </c>
      <c r="N496" t="s">
        <v>79</v>
      </c>
      <c r="O496">
        <v>8.25</v>
      </c>
      <c r="P496" t="s">
        <v>125</v>
      </c>
      <c r="Q496" t="s">
        <v>28</v>
      </c>
      <c r="R496">
        <v>2018</v>
      </c>
      <c r="S496" t="str">
        <f>IF(AND(HR_Employees[[#This Row],[Attrition]]="YES",HR_Employees[[#This Row],[Exit_Date]]&lt;&gt;""),YEAR(HR_Employees[[#This Row],[Exit_Date]]),"")</f>
        <v/>
      </c>
    </row>
    <row r="497" spans="1:19">
      <c r="A497" t="s">
        <v>862</v>
      </c>
      <c r="B497" t="s">
        <v>779</v>
      </c>
      <c r="C497">
        <v>36</v>
      </c>
      <c r="D497" t="s">
        <v>61</v>
      </c>
      <c r="E497" t="s">
        <v>32</v>
      </c>
      <c r="F497" t="s">
        <v>151</v>
      </c>
      <c r="G497" t="s">
        <v>23</v>
      </c>
      <c r="H497" s="2">
        <v>43478</v>
      </c>
      <c r="I497" s="2" t="str">
        <f>IFERROR(VLOOKUP(HR_Employees[[#This Row],[Employee_ID]],'[1]Synthetic Exit Data'!$A$2:$E$235,4,0)," NA")</f>
        <v xml:space="preserve"> NA</v>
      </c>
      <c r="J497" t="s">
        <v>24</v>
      </c>
      <c r="K497">
        <v>3</v>
      </c>
      <c r="L497" s="3">
        <v>41689</v>
      </c>
      <c r="M497" t="s">
        <v>42</v>
      </c>
      <c r="N497" t="s">
        <v>79</v>
      </c>
      <c r="O497">
        <v>7.75</v>
      </c>
      <c r="P497" t="s">
        <v>125</v>
      </c>
      <c r="Q497" t="s">
        <v>58</v>
      </c>
      <c r="R497">
        <v>2019</v>
      </c>
      <c r="S497" t="str">
        <f>IF(AND(HR_Employees[[#This Row],[Attrition]]="YES",HR_Employees[[#This Row],[Exit_Date]]&lt;&gt;""),YEAR(HR_Employees[[#This Row],[Exit_Date]]),"")</f>
        <v/>
      </c>
    </row>
    <row r="498" spans="1:19">
      <c r="A498" t="s">
        <v>863</v>
      </c>
      <c r="B498" t="s">
        <v>656</v>
      </c>
      <c r="C498">
        <v>36</v>
      </c>
      <c r="D498" t="s">
        <v>61</v>
      </c>
      <c r="E498" t="s">
        <v>32</v>
      </c>
      <c r="F498" t="s">
        <v>47</v>
      </c>
      <c r="G498" t="s">
        <v>41</v>
      </c>
      <c r="H498" s="2">
        <v>46125</v>
      </c>
      <c r="I498" s="2" t="str">
        <f>IFERROR(VLOOKUP(HR_Employees[[#This Row],[Employee_ID]],'[1]Synthetic Exit Data'!$A$2:$E$235,4,0)," NA")</f>
        <v xml:space="preserve"> NA</v>
      </c>
      <c r="J498" t="s">
        <v>24</v>
      </c>
      <c r="K498">
        <v>1</v>
      </c>
      <c r="L498" s="3">
        <v>23555</v>
      </c>
      <c r="M498" t="s">
        <v>82</v>
      </c>
      <c r="N498" t="s">
        <v>43</v>
      </c>
      <c r="O498">
        <v>0.5</v>
      </c>
      <c r="P498" t="s">
        <v>27</v>
      </c>
      <c r="Q498" t="s">
        <v>44</v>
      </c>
      <c r="R498">
        <v>2026</v>
      </c>
      <c r="S498" t="str">
        <f>IF(AND(HR_Employees[[#This Row],[Attrition]]="YES",HR_Employees[[#This Row],[Exit_Date]]&lt;&gt;""),YEAR(HR_Employees[[#This Row],[Exit_Date]]),"")</f>
        <v/>
      </c>
    </row>
    <row r="499" spans="1:19">
      <c r="A499" t="s">
        <v>864</v>
      </c>
      <c r="B499" t="s">
        <v>238</v>
      </c>
      <c r="C499">
        <v>33</v>
      </c>
      <c r="D499" t="s">
        <v>31</v>
      </c>
      <c r="E499" t="s">
        <v>21</v>
      </c>
      <c r="F499" t="s">
        <v>22</v>
      </c>
      <c r="G499" t="s">
        <v>33</v>
      </c>
      <c r="H499" s="2">
        <v>44543</v>
      </c>
      <c r="I499" s="2" t="str">
        <f>IFERROR(VLOOKUP(HR_Employees[[#This Row],[Employee_ID]],'[1]Synthetic Exit Data'!$A$2:$E$235,4,0)," NA")</f>
        <v xml:space="preserve"> NA</v>
      </c>
      <c r="J499" t="s">
        <v>24</v>
      </c>
      <c r="K499">
        <v>4</v>
      </c>
      <c r="L499" s="3">
        <v>48872</v>
      </c>
      <c r="M499" t="s">
        <v>42</v>
      </c>
      <c r="N499" t="s">
        <v>50</v>
      </c>
      <c r="O499">
        <v>4.83</v>
      </c>
      <c r="P499" t="s">
        <v>35</v>
      </c>
      <c r="Q499" t="s">
        <v>28</v>
      </c>
      <c r="R499">
        <v>2021</v>
      </c>
      <c r="S499" t="str">
        <f>IF(AND(HR_Employees[[#This Row],[Attrition]]="YES",HR_Employees[[#This Row],[Exit_Date]]&lt;&gt;""),YEAR(HR_Employees[[#This Row],[Exit_Date]]),"")</f>
        <v/>
      </c>
    </row>
    <row r="500" spans="1:19">
      <c r="A500" t="s">
        <v>865</v>
      </c>
      <c r="B500" t="s">
        <v>866</v>
      </c>
      <c r="C500">
        <v>40</v>
      </c>
      <c r="D500" t="s">
        <v>61</v>
      </c>
      <c r="E500" t="s">
        <v>21</v>
      </c>
      <c r="F500" t="s">
        <v>22</v>
      </c>
      <c r="G500" t="s">
        <v>23</v>
      </c>
      <c r="H500" s="2">
        <v>42687</v>
      </c>
      <c r="I500" s="2" t="str">
        <f>IFERROR(VLOOKUP(HR_Employees[[#This Row],[Employee_ID]],'[1]Synthetic Exit Data'!$A$2:$E$235,4,0)," NA")</f>
        <v xml:space="preserve"> NA</v>
      </c>
      <c r="J500" t="s">
        <v>24</v>
      </c>
      <c r="K500">
        <v>3</v>
      </c>
      <c r="L500" s="3">
        <v>171254</v>
      </c>
      <c r="M500" t="s">
        <v>25</v>
      </c>
      <c r="N500" t="s">
        <v>79</v>
      </c>
      <c r="O500">
        <v>9.92</v>
      </c>
      <c r="P500" t="s">
        <v>27</v>
      </c>
      <c r="Q500" t="s">
        <v>76</v>
      </c>
      <c r="R500">
        <v>2016</v>
      </c>
      <c r="S500" t="str">
        <f>IF(AND(HR_Employees[[#This Row],[Attrition]]="YES",HR_Employees[[#This Row],[Exit_Date]]&lt;&gt;""),YEAR(HR_Employees[[#This Row],[Exit_Date]]),"")</f>
        <v/>
      </c>
    </row>
    <row r="501" spans="1:19">
      <c r="A501" t="s">
        <v>867</v>
      </c>
      <c r="B501" t="s">
        <v>735</v>
      </c>
      <c r="C501">
        <v>31</v>
      </c>
      <c r="D501" t="s">
        <v>31</v>
      </c>
      <c r="E501" t="s">
        <v>21</v>
      </c>
      <c r="F501" t="s">
        <v>47</v>
      </c>
      <c r="G501" t="s">
        <v>33</v>
      </c>
      <c r="H501" s="2">
        <v>44209</v>
      </c>
      <c r="I501" s="2" t="str">
        <f>IFERROR(VLOOKUP(HR_Employees[[#This Row],[Employee_ID]],'[1]Synthetic Exit Data'!$A$2:$E$235,4,0)," NA")</f>
        <v xml:space="preserve"> NA</v>
      </c>
      <c r="J501" t="s">
        <v>24</v>
      </c>
      <c r="K501">
        <v>2</v>
      </c>
      <c r="L501" s="3">
        <v>32768</v>
      </c>
      <c r="M501" t="s">
        <v>42</v>
      </c>
      <c r="N501" t="s">
        <v>79</v>
      </c>
      <c r="O501">
        <v>5.75</v>
      </c>
      <c r="P501" t="s">
        <v>51</v>
      </c>
      <c r="Q501" t="s">
        <v>36</v>
      </c>
      <c r="R501">
        <v>2021</v>
      </c>
      <c r="S501" t="str">
        <f>IF(AND(HR_Employees[[#This Row],[Attrition]]="YES",HR_Employees[[#This Row],[Exit_Date]]&lt;&gt;""),YEAR(HR_Employees[[#This Row],[Exit_Date]]),"")</f>
        <v/>
      </c>
    </row>
    <row r="502" spans="1:19">
      <c r="A502" t="s">
        <v>868</v>
      </c>
      <c r="B502" t="s">
        <v>271</v>
      </c>
      <c r="C502">
        <v>26</v>
      </c>
      <c r="D502" t="s">
        <v>31</v>
      </c>
      <c r="E502" t="s">
        <v>32</v>
      </c>
      <c r="F502" t="s">
        <v>109</v>
      </c>
      <c r="G502" t="s">
        <v>23</v>
      </c>
      <c r="H502" s="2">
        <v>46035</v>
      </c>
      <c r="I502" s="2" t="str">
        <f>IFERROR(VLOOKUP(HR_Employees[[#This Row],[Employee_ID]],'[1]Synthetic Exit Data'!$A$2:$E$235,4,0)," NA")</f>
        <v xml:space="preserve"> NA</v>
      </c>
      <c r="J502" t="s">
        <v>24</v>
      </c>
      <c r="K502">
        <v>4</v>
      </c>
      <c r="L502" s="3">
        <v>18492</v>
      </c>
      <c r="M502" t="s">
        <v>82</v>
      </c>
      <c r="N502" t="s">
        <v>43</v>
      </c>
      <c r="O502">
        <v>0.75</v>
      </c>
      <c r="P502" t="s">
        <v>51</v>
      </c>
      <c r="Q502" t="s">
        <v>92</v>
      </c>
      <c r="R502">
        <v>2026</v>
      </c>
      <c r="S502" t="str">
        <f>IF(AND(HR_Employees[[#This Row],[Attrition]]="YES",HR_Employees[[#This Row],[Exit_Date]]&lt;&gt;""),YEAR(HR_Employees[[#This Row],[Exit_Date]]),"")</f>
        <v/>
      </c>
    </row>
    <row r="503" spans="1:19">
      <c r="A503" t="s">
        <v>869</v>
      </c>
      <c r="B503" t="s">
        <v>457</v>
      </c>
      <c r="C503">
        <v>42</v>
      </c>
      <c r="D503" t="s">
        <v>61</v>
      </c>
      <c r="E503" t="s">
        <v>32</v>
      </c>
      <c r="F503" t="s">
        <v>22</v>
      </c>
      <c r="G503" t="s">
        <v>23</v>
      </c>
      <c r="H503" s="2">
        <v>45106</v>
      </c>
      <c r="I503" s="2" t="str">
        <f>IFERROR(VLOOKUP(HR_Employees[[#This Row],[Employee_ID]],'[1]Synthetic Exit Data'!$A$2:$E$235,4,0)," NA")</f>
        <v>2023-08-13</v>
      </c>
      <c r="J503" t="s">
        <v>49</v>
      </c>
      <c r="K503">
        <v>1</v>
      </c>
      <c r="L503" s="3">
        <v>144834</v>
      </c>
      <c r="M503" t="s">
        <v>25</v>
      </c>
      <c r="N503" t="s">
        <v>50</v>
      </c>
      <c r="O503">
        <v>3.25</v>
      </c>
      <c r="P503" t="s">
        <v>125</v>
      </c>
      <c r="Q503" t="s">
        <v>58</v>
      </c>
      <c r="R503">
        <v>2023</v>
      </c>
      <c r="S503">
        <f>IF(AND(HR_Employees[[#This Row],[Attrition]]="YES",HR_Employees[[#This Row],[Exit_Date]]&lt;&gt;""),YEAR(HR_Employees[[#This Row],[Exit_Date]]),"")</f>
        <v>2023</v>
      </c>
    </row>
    <row r="504" spans="1:19">
      <c r="A504" t="s">
        <v>870</v>
      </c>
      <c r="B504" t="s">
        <v>871</v>
      </c>
      <c r="C504">
        <v>28</v>
      </c>
      <c r="D504" t="s">
        <v>31</v>
      </c>
      <c r="E504" t="s">
        <v>32</v>
      </c>
      <c r="F504" t="s">
        <v>47</v>
      </c>
      <c r="G504" t="s">
        <v>33</v>
      </c>
      <c r="H504" s="2">
        <v>46110</v>
      </c>
      <c r="I504" s="2" t="str">
        <f>IFERROR(VLOOKUP(HR_Employees[[#This Row],[Employee_ID]],'[1]Synthetic Exit Data'!$A$2:$E$235,4,0)," NA")</f>
        <v>2026-04-29</v>
      </c>
      <c r="J504" t="s">
        <v>49</v>
      </c>
      <c r="K504">
        <v>3</v>
      </c>
      <c r="L504" s="3">
        <v>95600</v>
      </c>
      <c r="M504" t="s">
        <v>66</v>
      </c>
      <c r="N504" t="s">
        <v>43</v>
      </c>
      <c r="O504">
        <v>0.5</v>
      </c>
      <c r="P504" t="s">
        <v>125</v>
      </c>
      <c r="Q504" t="s">
        <v>28</v>
      </c>
      <c r="R504">
        <v>2026</v>
      </c>
      <c r="S504">
        <f>IF(AND(HR_Employees[[#This Row],[Attrition]]="YES",HR_Employees[[#This Row],[Exit_Date]]&lt;&gt;""),YEAR(HR_Employees[[#This Row],[Exit_Date]]),"")</f>
        <v>2026</v>
      </c>
    </row>
    <row r="505" spans="1:19">
      <c r="A505" t="s">
        <v>872</v>
      </c>
      <c r="B505" t="s">
        <v>580</v>
      </c>
      <c r="C505">
        <v>49</v>
      </c>
      <c r="D505" t="s">
        <v>20</v>
      </c>
      <c r="E505" t="s">
        <v>21</v>
      </c>
      <c r="F505" t="s">
        <v>55</v>
      </c>
      <c r="G505" t="s">
        <v>23</v>
      </c>
      <c r="H505" s="2">
        <v>45151</v>
      </c>
      <c r="I505" s="2" t="str">
        <f>IFERROR(VLOOKUP(HR_Employees[[#This Row],[Employee_ID]],'[1]Synthetic Exit Data'!$A$2:$E$235,4,0)," NA")</f>
        <v xml:space="preserve"> NA</v>
      </c>
      <c r="J505" t="s">
        <v>24</v>
      </c>
      <c r="K505">
        <v>3</v>
      </c>
      <c r="L505" s="3">
        <v>70144</v>
      </c>
      <c r="M505" t="s">
        <v>34</v>
      </c>
      <c r="N505" t="s">
        <v>50</v>
      </c>
      <c r="O505">
        <v>3.17</v>
      </c>
      <c r="P505" t="s">
        <v>35</v>
      </c>
      <c r="Q505" t="s">
        <v>76</v>
      </c>
      <c r="R505">
        <v>2023</v>
      </c>
      <c r="S505" t="str">
        <f>IF(AND(HR_Employees[[#This Row],[Attrition]]="YES",HR_Employees[[#This Row],[Exit_Date]]&lt;&gt;""),YEAR(HR_Employees[[#This Row],[Exit_Date]]),"")</f>
        <v/>
      </c>
    </row>
    <row r="506" spans="1:19">
      <c r="A506" t="s">
        <v>873</v>
      </c>
      <c r="B506" t="s">
        <v>60</v>
      </c>
      <c r="C506">
        <v>45</v>
      </c>
      <c r="D506" t="s">
        <v>61</v>
      </c>
      <c r="E506" t="s">
        <v>32</v>
      </c>
      <c r="F506" t="s">
        <v>47</v>
      </c>
      <c r="G506" t="s">
        <v>48</v>
      </c>
      <c r="H506" s="2">
        <v>45517</v>
      </c>
      <c r="I506" s="2" t="str">
        <f>IFERROR(VLOOKUP(HR_Employees[[#This Row],[Employee_ID]],'[1]Synthetic Exit Data'!$A$2:$E$235,4,0)," NA")</f>
        <v xml:space="preserve"> NA</v>
      </c>
      <c r="J506" t="s">
        <v>24</v>
      </c>
      <c r="K506">
        <v>3</v>
      </c>
      <c r="L506" s="3">
        <v>54472</v>
      </c>
      <c r="M506" t="s">
        <v>34</v>
      </c>
      <c r="N506" t="s">
        <v>56</v>
      </c>
      <c r="O506">
        <v>2.17</v>
      </c>
      <c r="P506" t="s">
        <v>57</v>
      </c>
      <c r="Q506" t="s">
        <v>44</v>
      </c>
      <c r="R506">
        <v>2024</v>
      </c>
      <c r="S506" t="str">
        <f>IF(AND(HR_Employees[[#This Row],[Attrition]]="YES",HR_Employees[[#This Row],[Exit_Date]]&lt;&gt;""),YEAR(HR_Employees[[#This Row],[Exit_Date]]),"")</f>
        <v/>
      </c>
    </row>
    <row r="507" spans="1:19">
      <c r="A507" t="s">
        <v>874</v>
      </c>
      <c r="B507" t="s">
        <v>304</v>
      </c>
      <c r="C507">
        <v>59</v>
      </c>
      <c r="D507" t="s">
        <v>54</v>
      </c>
      <c r="E507" t="s">
        <v>21</v>
      </c>
      <c r="F507" t="s">
        <v>73</v>
      </c>
      <c r="G507" t="s">
        <v>23</v>
      </c>
      <c r="H507" s="2">
        <v>43233</v>
      </c>
      <c r="I507" s="2" t="str">
        <f>IFERROR(VLOOKUP(HR_Employees[[#This Row],[Employee_ID]],'[1]Synthetic Exit Data'!$A$2:$E$235,4,0)," NA")</f>
        <v xml:space="preserve"> NA</v>
      </c>
      <c r="J507" t="s">
        <v>24</v>
      </c>
      <c r="K507">
        <v>4</v>
      </c>
      <c r="L507" s="3">
        <v>48857</v>
      </c>
      <c r="M507" t="s">
        <v>42</v>
      </c>
      <c r="N507" t="s">
        <v>79</v>
      </c>
      <c r="O507">
        <v>8.42</v>
      </c>
      <c r="P507" t="s">
        <v>57</v>
      </c>
      <c r="Q507" t="s">
        <v>28</v>
      </c>
      <c r="R507">
        <v>2018</v>
      </c>
      <c r="S507" t="str">
        <f>IF(AND(HR_Employees[[#This Row],[Attrition]]="YES",HR_Employees[[#This Row],[Exit_Date]]&lt;&gt;""),YEAR(HR_Employees[[#This Row],[Exit_Date]]),"")</f>
        <v/>
      </c>
    </row>
    <row r="508" spans="1:19">
      <c r="A508" t="s">
        <v>875</v>
      </c>
      <c r="B508" t="s">
        <v>726</v>
      </c>
      <c r="C508">
        <v>26</v>
      </c>
      <c r="D508" t="s">
        <v>31</v>
      </c>
      <c r="E508" t="s">
        <v>21</v>
      </c>
      <c r="F508" t="s">
        <v>73</v>
      </c>
      <c r="G508" t="s">
        <v>23</v>
      </c>
      <c r="H508" s="2">
        <v>41919</v>
      </c>
      <c r="I508" s="2" t="str">
        <f>IFERROR(VLOOKUP(HR_Employees[[#This Row],[Employee_ID]],'[1]Synthetic Exit Data'!$A$2:$E$235,4,0)," NA")</f>
        <v>2020-09-11</v>
      </c>
      <c r="J508" t="s">
        <v>49</v>
      </c>
      <c r="K508">
        <v>3</v>
      </c>
      <c r="L508" s="3">
        <v>45192</v>
      </c>
      <c r="M508" t="s">
        <v>42</v>
      </c>
      <c r="N508" t="s">
        <v>26</v>
      </c>
      <c r="O508">
        <v>12</v>
      </c>
      <c r="P508" t="s">
        <v>35</v>
      </c>
      <c r="Q508" t="s">
        <v>44</v>
      </c>
      <c r="R508">
        <v>2014</v>
      </c>
      <c r="S508">
        <f>IF(AND(HR_Employees[[#This Row],[Attrition]]="YES",HR_Employees[[#This Row],[Exit_Date]]&lt;&gt;""),YEAR(HR_Employees[[#This Row],[Exit_Date]]),"")</f>
        <v>2020</v>
      </c>
    </row>
    <row r="509" spans="1:19">
      <c r="A509" t="s">
        <v>876</v>
      </c>
      <c r="B509" t="s">
        <v>877</v>
      </c>
      <c r="C509">
        <v>30</v>
      </c>
      <c r="D509" t="s">
        <v>31</v>
      </c>
      <c r="E509" t="s">
        <v>21</v>
      </c>
      <c r="F509" t="s">
        <v>109</v>
      </c>
      <c r="G509" t="s">
        <v>23</v>
      </c>
      <c r="H509" s="2">
        <v>42017</v>
      </c>
      <c r="I509" s="2" t="str">
        <f>IFERROR(VLOOKUP(HR_Employees[[#This Row],[Employee_ID]],'[1]Synthetic Exit Data'!$A$2:$E$235,4,0)," NA")</f>
        <v xml:space="preserve"> NA</v>
      </c>
      <c r="J509" t="s">
        <v>24</v>
      </c>
      <c r="K509">
        <v>5</v>
      </c>
      <c r="L509" s="3">
        <v>61091</v>
      </c>
      <c r="M509" t="s">
        <v>34</v>
      </c>
      <c r="N509" t="s">
        <v>26</v>
      </c>
      <c r="O509">
        <v>11.75</v>
      </c>
      <c r="P509" t="s">
        <v>27</v>
      </c>
      <c r="Q509" t="s">
        <v>44</v>
      </c>
      <c r="R509">
        <v>2015</v>
      </c>
      <c r="S509" t="str">
        <f>IF(AND(HR_Employees[[#This Row],[Attrition]]="YES",HR_Employees[[#This Row],[Exit_Date]]&lt;&gt;""),YEAR(HR_Employees[[#This Row],[Exit_Date]]),"")</f>
        <v/>
      </c>
    </row>
    <row r="510" spans="1:19">
      <c r="A510" t="s">
        <v>878</v>
      </c>
      <c r="B510" t="s">
        <v>294</v>
      </c>
      <c r="C510">
        <v>30</v>
      </c>
      <c r="D510" t="s">
        <v>31</v>
      </c>
      <c r="E510" t="s">
        <v>21</v>
      </c>
      <c r="F510" t="s">
        <v>73</v>
      </c>
      <c r="G510" t="s">
        <v>33</v>
      </c>
      <c r="H510" s="2">
        <v>46125</v>
      </c>
      <c r="I510" s="2" t="str">
        <f>IFERROR(VLOOKUP(HR_Employees[[#This Row],[Employee_ID]],'[1]Synthetic Exit Data'!$A$2:$E$235,4,0)," NA")</f>
        <v xml:space="preserve"> NA</v>
      </c>
      <c r="J510" t="s">
        <v>24</v>
      </c>
      <c r="K510">
        <v>4</v>
      </c>
      <c r="L510" s="3">
        <v>21237</v>
      </c>
      <c r="M510" t="s">
        <v>82</v>
      </c>
      <c r="N510" t="s">
        <v>43</v>
      </c>
      <c r="O510">
        <v>0.5</v>
      </c>
      <c r="P510" t="s">
        <v>35</v>
      </c>
      <c r="Q510" t="s">
        <v>86</v>
      </c>
      <c r="R510">
        <v>2026</v>
      </c>
      <c r="S510" t="str">
        <f>IF(AND(HR_Employees[[#This Row],[Attrition]]="YES",HR_Employees[[#This Row],[Exit_Date]]&lt;&gt;""),YEAR(HR_Employees[[#This Row],[Exit_Date]]),"")</f>
        <v/>
      </c>
    </row>
    <row r="511" spans="1:19">
      <c r="A511" t="s">
        <v>879</v>
      </c>
      <c r="B511" t="s">
        <v>401</v>
      </c>
      <c r="C511">
        <v>37</v>
      </c>
      <c r="D511" t="s">
        <v>61</v>
      </c>
      <c r="E511" t="s">
        <v>21</v>
      </c>
      <c r="F511" t="s">
        <v>55</v>
      </c>
      <c r="G511" t="s">
        <v>23</v>
      </c>
      <c r="H511" s="2">
        <v>46247</v>
      </c>
      <c r="I511" s="2" t="str">
        <f>IFERROR(VLOOKUP(HR_Employees[[#This Row],[Employee_ID]],'[1]Synthetic Exit Data'!$A$2:$E$235,4,0)," NA")</f>
        <v xml:space="preserve"> NA</v>
      </c>
      <c r="J511" t="s">
        <v>24</v>
      </c>
      <c r="K511">
        <v>4</v>
      </c>
      <c r="L511" s="3">
        <v>59668</v>
      </c>
      <c r="M511" t="s">
        <v>34</v>
      </c>
      <c r="N511" t="s">
        <v>43</v>
      </c>
      <c r="O511">
        <v>0.17</v>
      </c>
      <c r="P511" t="s">
        <v>27</v>
      </c>
      <c r="Q511" t="s">
        <v>58</v>
      </c>
      <c r="R511">
        <v>2026</v>
      </c>
      <c r="S511" t="str">
        <f>IF(AND(HR_Employees[[#This Row],[Attrition]]="YES",HR_Employees[[#This Row],[Exit_Date]]&lt;&gt;""),YEAR(HR_Employees[[#This Row],[Exit_Date]]),"")</f>
        <v/>
      </c>
    </row>
    <row r="512" spans="1:19">
      <c r="A512" t="s">
        <v>880</v>
      </c>
      <c r="B512" t="s">
        <v>70</v>
      </c>
      <c r="C512">
        <v>53</v>
      </c>
      <c r="D512" t="s">
        <v>20</v>
      </c>
      <c r="E512" t="s">
        <v>21</v>
      </c>
      <c r="F512" t="s">
        <v>47</v>
      </c>
      <c r="G512" t="s">
        <v>33</v>
      </c>
      <c r="H512" s="2">
        <v>44268</v>
      </c>
      <c r="I512" s="2" t="str">
        <f>IFERROR(VLOOKUP(HR_Employees[[#This Row],[Employee_ID]],'[1]Synthetic Exit Data'!$A$2:$E$235,4,0)," NA")</f>
        <v xml:space="preserve"> NA</v>
      </c>
      <c r="J512" t="s">
        <v>24</v>
      </c>
      <c r="K512">
        <v>4</v>
      </c>
      <c r="L512" s="3">
        <v>40042</v>
      </c>
      <c r="M512" t="s">
        <v>42</v>
      </c>
      <c r="N512" t="s">
        <v>79</v>
      </c>
      <c r="O512">
        <v>5.58</v>
      </c>
      <c r="P512" t="s">
        <v>125</v>
      </c>
      <c r="Q512" t="s">
        <v>62</v>
      </c>
      <c r="R512">
        <v>2021</v>
      </c>
      <c r="S512" t="str">
        <f>IF(AND(HR_Employees[[#This Row],[Attrition]]="YES",HR_Employees[[#This Row],[Exit_Date]]&lt;&gt;""),YEAR(HR_Employees[[#This Row],[Exit_Date]]),"")</f>
        <v/>
      </c>
    </row>
    <row r="513" spans="1:19">
      <c r="A513" t="s">
        <v>881</v>
      </c>
      <c r="B513" t="s">
        <v>882</v>
      </c>
      <c r="C513">
        <v>41</v>
      </c>
      <c r="D513" t="s">
        <v>61</v>
      </c>
      <c r="E513" t="s">
        <v>21</v>
      </c>
      <c r="F513" t="s">
        <v>151</v>
      </c>
      <c r="G513" t="s">
        <v>23</v>
      </c>
      <c r="H513" s="2">
        <v>41977</v>
      </c>
      <c r="I513" s="2" t="str">
        <f>IFERROR(VLOOKUP(HR_Employees[[#This Row],[Employee_ID]],'[1]Synthetic Exit Data'!$A$2:$E$235,4,0)," NA")</f>
        <v>2016-08-25</v>
      </c>
      <c r="J513" t="s">
        <v>49</v>
      </c>
      <c r="K513">
        <v>4</v>
      </c>
      <c r="L513" s="3">
        <v>137291</v>
      </c>
      <c r="M513" t="s">
        <v>25</v>
      </c>
      <c r="N513" t="s">
        <v>26</v>
      </c>
      <c r="O513">
        <v>11.67</v>
      </c>
      <c r="P513" t="s">
        <v>57</v>
      </c>
      <c r="Q513" t="s">
        <v>28</v>
      </c>
      <c r="R513">
        <v>2014</v>
      </c>
      <c r="S513">
        <f>IF(AND(HR_Employees[[#This Row],[Attrition]]="YES",HR_Employees[[#This Row],[Exit_Date]]&lt;&gt;""),YEAR(HR_Employees[[#This Row],[Exit_Date]]),"")</f>
        <v>2016</v>
      </c>
    </row>
    <row r="514" spans="1:19">
      <c r="A514" t="s">
        <v>883</v>
      </c>
      <c r="B514" t="s">
        <v>884</v>
      </c>
      <c r="C514">
        <v>32</v>
      </c>
      <c r="D514" t="s">
        <v>31</v>
      </c>
      <c r="E514" t="s">
        <v>32</v>
      </c>
      <c r="F514" t="s">
        <v>73</v>
      </c>
      <c r="G514" t="s">
        <v>114</v>
      </c>
      <c r="H514" s="2">
        <v>45548</v>
      </c>
      <c r="I514" s="2" t="str">
        <f>IFERROR(VLOOKUP(HR_Employees[[#This Row],[Employee_ID]],'[1]Synthetic Exit Data'!$A$2:$E$235,4,0)," NA")</f>
        <v xml:space="preserve"> NA</v>
      </c>
      <c r="J514" t="s">
        <v>24</v>
      </c>
      <c r="K514">
        <v>5</v>
      </c>
      <c r="L514" s="3">
        <v>21402</v>
      </c>
      <c r="M514" t="s">
        <v>82</v>
      </c>
      <c r="N514" t="s">
        <v>56</v>
      </c>
      <c r="O514">
        <v>2.08</v>
      </c>
      <c r="P514" t="s">
        <v>27</v>
      </c>
      <c r="Q514" t="s">
        <v>44</v>
      </c>
      <c r="R514">
        <v>2024</v>
      </c>
      <c r="S514" t="str">
        <f>IF(AND(HR_Employees[[#This Row],[Attrition]]="YES",HR_Employees[[#This Row],[Exit_Date]]&lt;&gt;""),YEAR(HR_Employees[[#This Row],[Exit_Date]]),"")</f>
        <v/>
      </c>
    </row>
    <row r="515" spans="1:19">
      <c r="A515" t="s">
        <v>885</v>
      </c>
      <c r="B515" t="s">
        <v>323</v>
      </c>
      <c r="C515">
        <v>25</v>
      </c>
      <c r="D515" t="s">
        <v>39</v>
      </c>
      <c r="E515" t="s">
        <v>32</v>
      </c>
      <c r="F515" t="s">
        <v>22</v>
      </c>
      <c r="G515" t="s">
        <v>48</v>
      </c>
      <c r="H515" s="2">
        <v>46034</v>
      </c>
      <c r="I515" s="2" t="str">
        <f>IFERROR(VLOOKUP(HR_Employees[[#This Row],[Employee_ID]],'[1]Synthetic Exit Data'!$A$2:$E$235,4,0)," NA")</f>
        <v>2026-10-18</v>
      </c>
      <c r="J515" t="s">
        <v>49</v>
      </c>
      <c r="K515">
        <v>3</v>
      </c>
      <c r="L515" s="3">
        <v>42274</v>
      </c>
      <c r="M515" t="s">
        <v>42</v>
      </c>
      <c r="N515" t="s">
        <v>43</v>
      </c>
      <c r="O515">
        <v>0.67</v>
      </c>
      <c r="P515" t="s">
        <v>57</v>
      </c>
      <c r="Q515" t="s">
        <v>76</v>
      </c>
      <c r="R515">
        <v>2026</v>
      </c>
      <c r="S515">
        <f>IF(AND(HR_Employees[[#This Row],[Attrition]]="YES",HR_Employees[[#This Row],[Exit_Date]]&lt;&gt;""),YEAR(HR_Employees[[#This Row],[Exit_Date]]),"")</f>
        <v>2026</v>
      </c>
    </row>
    <row r="516" spans="1:19">
      <c r="A516" t="s">
        <v>886</v>
      </c>
      <c r="B516" t="s">
        <v>887</v>
      </c>
      <c r="C516">
        <v>21</v>
      </c>
      <c r="D516" t="s">
        <v>39</v>
      </c>
      <c r="E516" t="s">
        <v>21</v>
      </c>
      <c r="F516" t="s">
        <v>47</v>
      </c>
      <c r="G516" t="s">
        <v>48</v>
      </c>
      <c r="H516" s="2">
        <v>45821</v>
      </c>
      <c r="I516" s="2" t="str">
        <f>IFERROR(VLOOKUP(HR_Employees[[#This Row],[Employee_ID]],'[1]Synthetic Exit Data'!$A$2:$E$235,4,0)," NA")</f>
        <v xml:space="preserve"> NA</v>
      </c>
      <c r="J516" t="s">
        <v>24</v>
      </c>
      <c r="K516">
        <v>3</v>
      </c>
      <c r="L516" s="3">
        <v>33152</v>
      </c>
      <c r="M516" t="s">
        <v>42</v>
      </c>
      <c r="N516" t="s">
        <v>56</v>
      </c>
      <c r="O516">
        <v>1.33</v>
      </c>
      <c r="P516" t="s">
        <v>27</v>
      </c>
      <c r="Q516" t="s">
        <v>36</v>
      </c>
      <c r="R516">
        <v>2025</v>
      </c>
      <c r="S516" t="str">
        <f>IF(AND(HR_Employees[[#This Row],[Attrition]]="YES",HR_Employees[[#This Row],[Exit_Date]]&lt;&gt;""),YEAR(HR_Employees[[#This Row],[Exit_Date]]),"")</f>
        <v/>
      </c>
    </row>
    <row r="517" spans="1:19">
      <c r="A517" t="s">
        <v>888</v>
      </c>
      <c r="B517" t="s">
        <v>726</v>
      </c>
      <c r="C517">
        <v>42</v>
      </c>
      <c r="D517" t="s">
        <v>61</v>
      </c>
      <c r="E517" t="s">
        <v>32</v>
      </c>
      <c r="F517" t="s">
        <v>22</v>
      </c>
      <c r="G517" t="s">
        <v>48</v>
      </c>
      <c r="H517" s="2">
        <v>46035</v>
      </c>
      <c r="I517" s="2" t="str">
        <f>IFERROR(VLOOKUP(HR_Employees[[#This Row],[Employee_ID]],'[1]Synthetic Exit Data'!$A$2:$E$235,4,0)," NA")</f>
        <v xml:space="preserve"> NA</v>
      </c>
      <c r="J517" t="s">
        <v>24</v>
      </c>
      <c r="K517">
        <v>4</v>
      </c>
      <c r="L517" s="3">
        <v>25893</v>
      </c>
      <c r="M517" t="s">
        <v>82</v>
      </c>
      <c r="N517" t="s">
        <v>43</v>
      </c>
      <c r="O517">
        <v>0.75</v>
      </c>
      <c r="P517" t="s">
        <v>35</v>
      </c>
      <c r="Q517" t="s">
        <v>28</v>
      </c>
      <c r="R517">
        <v>2026</v>
      </c>
      <c r="S517" t="str">
        <f>IF(AND(HR_Employees[[#This Row],[Attrition]]="YES",HR_Employees[[#This Row],[Exit_Date]]&lt;&gt;""),YEAR(HR_Employees[[#This Row],[Exit_Date]]),"")</f>
        <v/>
      </c>
    </row>
    <row r="518" spans="1:19">
      <c r="A518" t="s">
        <v>889</v>
      </c>
      <c r="B518" t="s">
        <v>161</v>
      </c>
      <c r="C518">
        <v>42</v>
      </c>
      <c r="D518" t="s">
        <v>61</v>
      </c>
      <c r="E518" t="s">
        <v>21</v>
      </c>
      <c r="F518" t="s">
        <v>109</v>
      </c>
      <c r="G518" t="s">
        <v>33</v>
      </c>
      <c r="H518" s="2">
        <v>45212</v>
      </c>
      <c r="I518" s="2" t="str">
        <f>IFERROR(VLOOKUP(HR_Employees[[#This Row],[Employee_ID]],'[1]Synthetic Exit Data'!$A$2:$E$235,4,0)," NA")</f>
        <v xml:space="preserve"> NA</v>
      </c>
      <c r="J518" t="s">
        <v>24</v>
      </c>
      <c r="K518">
        <v>4</v>
      </c>
      <c r="L518" s="3">
        <v>72111</v>
      </c>
      <c r="M518" t="s">
        <v>34</v>
      </c>
      <c r="N518" t="s">
        <v>56</v>
      </c>
      <c r="O518">
        <v>3</v>
      </c>
      <c r="P518" t="s">
        <v>27</v>
      </c>
      <c r="Q518" t="s">
        <v>58</v>
      </c>
      <c r="R518">
        <v>2023</v>
      </c>
      <c r="S518" t="str">
        <f>IF(AND(HR_Employees[[#This Row],[Attrition]]="YES",HR_Employees[[#This Row],[Exit_Date]]&lt;&gt;""),YEAR(HR_Employees[[#This Row],[Exit_Date]]),"")</f>
        <v/>
      </c>
    </row>
    <row r="519" spans="1:19">
      <c r="A519" t="s">
        <v>890</v>
      </c>
      <c r="B519" t="s">
        <v>446</v>
      </c>
      <c r="C519">
        <v>23</v>
      </c>
      <c r="D519" t="s">
        <v>39</v>
      </c>
      <c r="E519" t="s">
        <v>21</v>
      </c>
      <c r="F519" t="s">
        <v>47</v>
      </c>
      <c r="G519" t="s">
        <v>23</v>
      </c>
      <c r="H519" s="2">
        <v>45283</v>
      </c>
      <c r="I519" s="2" t="str">
        <f>IFERROR(VLOOKUP(HR_Employees[[#This Row],[Employee_ID]],'[1]Synthetic Exit Data'!$A$2:$E$235,4,0)," NA")</f>
        <v>2023-12-30</v>
      </c>
      <c r="J519" t="s">
        <v>49</v>
      </c>
      <c r="K519">
        <v>3</v>
      </c>
      <c r="L519" s="3">
        <v>42419</v>
      </c>
      <c r="M519" t="s">
        <v>42</v>
      </c>
      <c r="N519" t="s">
        <v>56</v>
      </c>
      <c r="O519">
        <v>2.75</v>
      </c>
      <c r="P519" t="s">
        <v>27</v>
      </c>
      <c r="Q519" t="s">
        <v>36</v>
      </c>
      <c r="R519">
        <v>2023</v>
      </c>
      <c r="S519">
        <f>IF(AND(HR_Employees[[#This Row],[Attrition]]="YES",HR_Employees[[#This Row],[Exit_Date]]&lt;&gt;""),YEAR(HR_Employees[[#This Row],[Exit_Date]]),"")</f>
        <v>2023</v>
      </c>
    </row>
    <row r="520" spans="1:19">
      <c r="A520" t="s">
        <v>891</v>
      </c>
      <c r="B520" t="s">
        <v>892</v>
      </c>
      <c r="C520">
        <v>40</v>
      </c>
      <c r="D520" t="s">
        <v>61</v>
      </c>
      <c r="E520" t="s">
        <v>32</v>
      </c>
      <c r="F520" t="s">
        <v>109</v>
      </c>
      <c r="G520" t="s">
        <v>33</v>
      </c>
      <c r="H520" s="2">
        <v>41833</v>
      </c>
      <c r="I520" s="2" t="str">
        <f>IFERROR(VLOOKUP(HR_Employees[[#This Row],[Employee_ID]],'[1]Synthetic Exit Data'!$A$2:$E$235,4,0)," NA")</f>
        <v xml:space="preserve"> NA</v>
      </c>
      <c r="J520" t="s">
        <v>24</v>
      </c>
      <c r="K520">
        <v>4</v>
      </c>
      <c r="L520" s="3">
        <v>41619</v>
      </c>
      <c r="M520" t="s">
        <v>42</v>
      </c>
      <c r="N520" t="s">
        <v>26</v>
      </c>
      <c r="O520">
        <v>12.25</v>
      </c>
      <c r="P520" t="s">
        <v>35</v>
      </c>
      <c r="Q520" t="s">
        <v>92</v>
      </c>
      <c r="R520">
        <v>2014</v>
      </c>
      <c r="S520" t="str">
        <f>IF(AND(HR_Employees[[#This Row],[Attrition]]="YES",HR_Employees[[#This Row],[Exit_Date]]&lt;&gt;""),YEAR(HR_Employees[[#This Row],[Exit_Date]]),"")</f>
        <v/>
      </c>
    </row>
    <row r="521" spans="1:19">
      <c r="A521" t="s">
        <v>893</v>
      </c>
      <c r="B521" t="s">
        <v>298</v>
      </c>
      <c r="C521">
        <v>59</v>
      </c>
      <c r="D521" t="s">
        <v>54</v>
      </c>
      <c r="E521" t="s">
        <v>21</v>
      </c>
      <c r="F521" t="s">
        <v>55</v>
      </c>
      <c r="G521" t="s">
        <v>23</v>
      </c>
      <c r="H521" s="2">
        <v>44115</v>
      </c>
      <c r="I521" s="2" t="str">
        <f>IFERROR(VLOOKUP(HR_Employees[[#This Row],[Employee_ID]],'[1]Synthetic Exit Data'!$A$2:$E$235,4,0)," NA")</f>
        <v>2021-09-28</v>
      </c>
      <c r="J521" t="s">
        <v>49</v>
      </c>
      <c r="K521">
        <v>4</v>
      </c>
      <c r="L521" s="3">
        <v>20441</v>
      </c>
      <c r="M521" t="s">
        <v>82</v>
      </c>
      <c r="N521" t="s">
        <v>79</v>
      </c>
      <c r="O521">
        <v>5.83</v>
      </c>
      <c r="P521" t="s">
        <v>27</v>
      </c>
      <c r="Q521" t="s">
        <v>36</v>
      </c>
      <c r="R521">
        <v>2020</v>
      </c>
      <c r="S521">
        <f>IF(AND(HR_Employees[[#This Row],[Attrition]]="YES",HR_Employees[[#This Row],[Exit_Date]]&lt;&gt;""),YEAR(HR_Employees[[#This Row],[Exit_Date]]),"")</f>
        <v>2021</v>
      </c>
    </row>
    <row r="522" spans="1:19">
      <c r="A522" t="s">
        <v>894</v>
      </c>
      <c r="B522" t="s">
        <v>81</v>
      </c>
      <c r="C522">
        <v>22</v>
      </c>
      <c r="D522" t="s">
        <v>39</v>
      </c>
      <c r="E522" t="s">
        <v>21</v>
      </c>
      <c r="F522" t="s">
        <v>40</v>
      </c>
      <c r="G522" t="s">
        <v>23</v>
      </c>
      <c r="H522" s="2">
        <v>46155</v>
      </c>
      <c r="I522" s="2" t="str">
        <f>IFERROR(VLOOKUP(HR_Employees[[#This Row],[Employee_ID]],'[1]Synthetic Exit Data'!$A$2:$E$235,4,0)," NA")</f>
        <v xml:space="preserve"> NA</v>
      </c>
      <c r="J522" t="s">
        <v>24</v>
      </c>
      <c r="K522">
        <v>3</v>
      </c>
      <c r="L522" s="3">
        <v>102374</v>
      </c>
      <c r="M522" t="s">
        <v>25</v>
      </c>
      <c r="N522" t="s">
        <v>43</v>
      </c>
      <c r="O522">
        <v>0.42</v>
      </c>
      <c r="P522" t="s">
        <v>35</v>
      </c>
      <c r="Q522" t="s">
        <v>44</v>
      </c>
      <c r="R522">
        <v>2026</v>
      </c>
      <c r="S522" t="str">
        <f>IF(AND(HR_Employees[[#This Row],[Attrition]]="YES",HR_Employees[[#This Row],[Exit_Date]]&lt;&gt;""),YEAR(HR_Employees[[#This Row],[Exit_Date]]),"")</f>
        <v/>
      </c>
    </row>
    <row r="523" spans="1:19">
      <c r="A523" t="s">
        <v>895</v>
      </c>
      <c r="B523" t="s">
        <v>422</v>
      </c>
      <c r="C523">
        <v>39</v>
      </c>
      <c r="D523" t="s">
        <v>61</v>
      </c>
      <c r="E523" t="s">
        <v>32</v>
      </c>
      <c r="F523" t="s">
        <v>151</v>
      </c>
      <c r="G523" t="s">
        <v>48</v>
      </c>
      <c r="H523" s="2">
        <v>46066</v>
      </c>
      <c r="I523" s="2" t="str">
        <f>IFERROR(VLOOKUP(HR_Employees[[#This Row],[Employee_ID]],'[1]Synthetic Exit Data'!$A$2:$E$235,4,0)," NA")</f>
        <v xml:space="preserve"> NA</v>
      </c>
      <c r="J523" t="s">
        <v>24</v>
      </c>
      <c r="K523">
        <v>4</v>
      </c>
      <c r="L523" s="3">
        <v>46568</v>
      </c>
      <c r="M523" t="s">
        <v>42</v>
      </c>
      <c r="N523" t="s">
        <v>43</v>
      </c>
      <c r="O523">
        <v>0.67</v>
      </c>
      <c r="P523" t="s">
        <v>27</v>
      </c>
      <c r="Q523" t="s">
        <v>28</v>
      </c>
      <c r="R523">
        <v>2026</v>
      </c>
      <c r="S523" t="str">
        <f>IF(AND(HR_Employees[[#This Row],[Attrition]]="YES",HR_Employees[[#This Row],[Exit_Date]]&lt;&gt;""),YEAR(HR_Employees[[#This Row],[Exit_Date]]),"")</f>
        <v/>
      </c>
    </row>
    <row r="524" spans="1:19">
      <c r="A524" t="s">
        <v>896</v>
      </c>
      <c r="B524" t="s">
        <v>656</v>
      </c>
      <c r="C524">
        <v>21</v>
      </c>
      <c r="D524" t="s">
        <v>39</v>
      </c>
      <c r="E524" t="s">
        <v>21</v>
      </c>
      <c r="F524" t="s">
        <v>22</v>
      </c>
      <c r="G524" t="s">
        <v>48</v>
      </c>
      <c r="H524" s="2">
        <v>46048</v>
      </c>
      <c r="I524" s="2" t="str">
        <f>IFERROR(VLOOKUP(HR_Employees[[#This Row],[Employee_ID]],'[1]Synthetic Exit Data'!$A$2:$E$235,4,0)," NA")</f>
        <v>2026-03-09</v>
      </c>
      <c r="J524" t="s">
        <v>49</v>
      </c>
      <c r="K524">
        <v>3</v>
      </c>
      <c r="L524" s="3">
        <v>91446</v>
      </c>
      <c r="M524" t="s">
        <v>66</v>
      </c>
      <c r="N524" t="s">
        <v>43</v>
      </c>
      <c r="O524">
        <v>0.57999999999999996</v>
      </c>
      <c r="P524" t="s">
        <v>27</v>
      </c>
      <c r="Q524" t="s">
        <v>86</v>
      </c>
      <c r="R524">
        <v>2026</v>
      </c>
      <c r="S524">
        <f>IF(AND(HR_Employees[[#This Row],[Attrition]]="YES",HR_Employees[[#This Row],[Exit_Date]]&lt;&gt;""),YEAR(HR_Employees[[#This Row],[Exit_Date]]),"")</f>
        <v>2026</v>
      </c>
    </row>
    <row r="525" spans="1:19">
      <c r="A525" t="s">
        <v>897</v>
      </c>
      <c r="B525" t="s">
        <v>298</v>
      </c>
      <c r="C525">
        <v>45</v>
      </c>
      <c r="D525" t="s">
        <v>61</v>
      </c>
      <c r="E525" t="s">
        <v>32</v>
      </c>
      <c r="F525" t="s">
        <v>22</v>
      </c>
      <c r="G525" t="s">
        <v>48</v>
      </c>
      <c r="H525" s="2">
        <v>46278</v>
      </c>
      <c r="I525" s="2" t="str">
        <f>IFERROR(VLOOKUP(HR_Employees[[#This Row],[Employee_ID]],'[1]Synthetic Exit Data'!$A$2:$E$235,4,0)," NA")</f>
        <v xml:space="preserve"> NA</v>
      </c>
      <c r="J525" t="s">
        <v>24</v>
      </c>
      <c r="K525">
        <v>4</v>
      </c>
      <c r="L525" s="3">
        <v>40877</v>
      </c>
      <c r="M525" t="s">
        <v>42</v>
      </c>
      <c r="N525" t="s">
        <v>43</v>
      </c>
      <c r="O525">
        <v>0.08</v>
      </c>
      <c r="P525" t="s">
        <v>51</v>
      </c>
      <c r="Q525" t="s">
        <v>44</v>
      </c>
      <c r="R525">
        <v>2026</v>
      </c>
      <c r="S525" t="str">
        <f>IF(AND(HR_Employees[[#This Row],[Attrition]]="YES",HR_Employees[[#This Row],[Exit_Date]]&lt;&gt;""),YEAR(HR_Employees[[#This Row],[Exit_Date]]),"")</f>
        <v/>
      </c>
    </row>
    <row r="526" spans="1:19">
      <c r="A526" t="s">
        <v>898</v>
      </c>
      <c r="B526" t="s">
        <v>899</v>
      </c>
      <c r="C526">
        <v>34</v>
      </c>
      <c r="D526" t="s">
        <v>31</v>
      </c>
      <c r="E526" t="s">
        <v>21</v>
      </c>
      <c r="F526" t="s">
        <v>40</v>
      </c>
      <c r="G526" t="s">
        <v>41</v>
      </c>
      <c r="H526" s="2">
        <v>46278</v>
      </c>
      <c r="I526" s="2" t="str">
        <f>IFERROR(VLOOKUP(HR_Employees[[#This Row],[Employee_ID]],'[1]Synthetic Exit Data'!$A$2:$E$235,4,0)," NA")</f>
        <v xml:space="preserve"> NA</v>
      </c>
      <c r="J526" t="s">
        <v>24</v>
      </c>
      <c r="K526">
        <v>3</v>
      </c>
      <c r="L526" s="3">
        <v>27499</v>
      </c>
      <c r="M526" t="s">
        <v>82</v>
      </c>
      <c r="N526" t="s">
        <v>43</v>
      </c>
      <c r="O526">
        <v>0.08</v>
      </c>
      <c r="P526" t="s">
        <v>57</v>
      </c>
      <c r="Q526" t="s">
        <v>62</v>
      </c>
      <c r="R526">
        <v>2026</v>
      </c>
      <c r="S526" t="str">
        <f>IF(AND(HR_Employees[[#This Row],[Attrition]]="YES",HR_Employees[[#This Row],[Exit_Date]]&lt;&gt;""),YEAR(HR_Employees[[#This Row],[Exit_Date]]),"")</f>
        <v/>
      </c>
    </row>
    <row r="527" spans="1:19">
      <c r="A527" t="s">
        <v>900</v>
      </c>
      <c r="B527" t="s">
        <v>901</v>
      </c>
      <c r="C527">
        <v>21</v>
      </c>
      <c r="D527" t="s">
        <v>39</v>
      </c>
      <c r="E527" t="s">
        <v>21</v>
      </c>
      <c r="F527" t="s">
        <v>55</v>
      </c>
      <c r="G527" t="s">
        <v>114</v>
      </c>
      <c r="H527" s="2">
        <v>46278</v>
      </c>
      <c r="I527" s="2" t="str">
        <f>IFERROR(VLOOKUP(HR_Employees[[#This Row],[Employee_ID]],'[1]Synthetic Exit Data'!$A$2:$E$235,4,0)," NA")</f>
        <v xml:space="preserve"> NA</v>
      </c>
      <c r="J527" t="s">
        <v>24</v>
      </c>
      <c r="K527">
        <v>4</v>
      </c>
      <c r="L527" s="3">
        <v>56974</v>
      </c>
      <c r="M527" t="s">
        <v>34</v>
      </c>
      <c r="N527" t="s">
        <v>43</v>
      </c>
      <c r="O527">
        <v>0.08</v>
      </c>
      <c r="P527" t="s">
        <v>57</v>
      </c>
      <c r="Q527" t="s">
        <v>92</v>
      </c>
      <c r="R527">
        <v>2026</v>
      </c>
      <c r="S527" t="str">
        <f>IF(AND(HR_Employees[[#This Row],[Attrition]]="YES",HR_Employees[[#This Row],[Exit_Date]]&lt;&gt;""),YEAR(HR_Employees[[#This Row],[Exit_Date]]),"")</f>
        <v/>
      </c>
    </row>
    <row r="528" spans="1:19">
      <c r="A528" t="s">
        <v>902</v>
      </c>
      <c r="B528" t="s">
        <v>236</v>
      </c>
      <c r="C528">
        <v>37</v>
      </c>
      <c r="D528" t="s">
        <v>61</v>
      </c>
      <c r="E528" t="s">
        <v>32</v>
      </c>
      <c r="F528" t="s">
        <v>40</v>
      </c>
      <c r="G528" t="s">
        <v>41</v>
      </c>
      <c r="H528" s="2">
        <v>43552</v>
      </c>
      <c r="I528" s="2" t="str">
        <f>IFERROR(VLOOKUP(HR_Employees[[#This Row],[Employee_ID]],'[1]Synthetic Exit Data'!$A$2:$E$235,4,0)," NA")</f>
        <v>2019-06-28</v>
      </c>
      <c r="J528" t="s">
        <v>49</v>
      </c>
      <c r="K528">
        <v>3</v>
      </c>
      <c r="L528" s="3">
        <v>36937</v>
      </c>
      <c r="M528" t="s">
        <v>42</v>
      </c>
      <c r="N528" t="s">
        <v>79</v>
      </c>
      <c r="O528">
        <v>7.5</v>
      </c>
      <c r="P528" t="s">
        <v>57</v>
      </c>
      <c r="Q528" t="s">
        <v>28</v>
      </c>
      <c r="R528">
        <v>2019</v>
      </c>
      <c r="S528">
        <f>IF(AND(HR_Employees[[#This Row],[Attrition]]="YES",HR_Employees[[#This Row],[Exit_Date]]&lt;&gt;""),YEAR(HR_Employees[[#This Row],[Exit_Date]]),"")</f>
        <v>2019</v>
      </c>
    </row>
    <row r="529" spans="1:19">
      <c r="A529" t="s">
        <v>903</v>
      </c>
      <c r="B529" t="s">
        <v>161</v>
      </c>
      <c r="C529">
        <v>44</v>
      </c>
      <c r="D529" t="s">
        <v>61</v>
      </c>
      <c r="E529" t="s">
        <v>21</v>
      </c>
      <c r="F529" t="s">
        <v>47</v>
      </c>
      <c r="G529" t="s">
        <v>23</v>
      </c>
      <c r="H529" s="2">
        <v>45729</v>
      </c>
      <c r="I529" s="2" t="str">
        <f>IFERROR(VLOOKUP(HR_Employees[[#This Row],[Employee_ID]],'[1]Synthetic Exit Data'!$A$2:$E$235,4,0)," NA")</f>
        <v xml:space="preserve"> NA</v>
      </c>
      <c r="J529" t="s">
        <v>24</v>
      </c>
      <c r="K529">
        <v>3</v>
      </c>
      <c r="L529" s="3">
        <v>82792</v>
      </c>
      <c r="M529" t="s">
        <v>66</v>
      </c>
      <c r="N529" t="s">
        <v>56</v>
      </c>
      <c r="O529">
        <v>1.58</v>
      </c>
      <c r="P529" t="s">
        <v>27</v>
      </c>
      <c r="Q529" t="s">
        <v>28</v>
      </c>
      <c r="R529">
        <v>2025</v>
      </c>
      <c r="S529" t="str">
        <f>IF(AND(HR_Employees[[#This Row],[Attrition]]="YES",HR_Employees[[#This Row],[Exit_Date]]&lt;&gt;""),YEAR(HR_Employees[[#This Row],[Exit_Date]]),"")</f>
        <v/>
      </c>
    </row>
    <row r="530" spans="1:19">
      <c r="A530" t="s">
        <v>904</v>
      </c>
      <c r="B530" t="s">
        <v>905</v>
      </c>
      <c r="C530">
        <v>29</v>
      </c>
      <c r="D530" t="s">
        <v>31</v>
      </c>
      <c r="E530" t="s">
        <v>32</v>
      </c>
      <c r="F530" t="s">
        <v>22</v>
      </c>
      <c r="G530" t="s">
        <v>33</v>
      </c>
      <c r="H530" s="2">
        <v>46216</v>
      </c>
      <c r="I530" s="2" t="str">
        <f>IFERROR(VLOOKUP(HR_Employees[[#This Row],[Employee_ID]],'[1]Synthetic Exit Data'!$A$2:$E$235,4,0)," NA")</f>
        <v xml:space="preserve"> NA</v>
      </c>
      <c r="J530" t="s">
        <v>24</v>
      </c>
      <c r="K530">
        <v>3</v>
      </c>
      <c r="L530" s="3">
        <v>20961</v>
      </c>
      <c r="M530" t="s">
        <v>82</v>
      </c>
      <c r="N530" t="s">
        <v>43</v>
      </c>
      <c r="O530">
        <v>0.25</v>
      </c>
      <c r="P530" t="s">
        <v>27</v>
      </c>
      <c r="Q530" t="s">
        <v>62</v>
      </c>
      <c r="R530">
        <v>2026</v>
      </c>
      <c r="S530" t="str">
        <f>IF(AND(HR_Employees[[#This Row],[Attrition]]="YES",HR_Employees[[#This Row],[Exit_Date]]&lt;&gt;""),YEAR(HR_Employees[[#This Row],[Exit_Date]]),"")</f>
        <v/>
      </c>
    </row>
    <row r="531" spans="1:19">
      <c r="A531" t="s">
        <v>906</v>
      </c>
      <c r="B531" t="s">
        <v>302</v>
      </c>
      <c r="C531">
        <v>47</v>
      </c>
      <c r="D531" t="s">
        <v>20</v>
      </c>
      <c r="E531" t="s">
        <v>21</v>
      </c>
      <c r="F531" t="s">
        <v>73</v>
      </c>
      <c r="G531" t="s">
        <v>48</v>
      </c>
      <c r="H531" s="2">
        <v>46004</v>
      </c>
      <c r="I531" s="2" t="str">
        <f>IFERROR(VLOOKUP(HR_Employees[[#This Row],[Employee_ID]],'[1]Synthetic Exit Data'!$A$2:$E$235,4,0)," NA")</f>
        <v xml:space="preserve"> NA</v>
      </c>
      <c r="J531" t="s">
        <v>24</v>
      </c>
      <c r="K531">
        <v>3</v>
      </c>
      <c r="L531" s="3">
        <v>63252</v>
      </c>
      <c r="M531" t="s">
        <v>34</v>
      </c>
      <c r="N531" t="s">
        <v>43</v>
      </c>
      <c r="O531">
        <v>0.83</v>
      </c>
      <c r="P531" t="s">
        <v>27</v>
      </c>
      <c r="Q531" t="s">
        <v>86</v>
      </c>
      <c r="R531">
        <v>2025</v>
      </c>
      <c r="S531" t="str">
        <f>IF(AND(HR_Employees[[#This Row],[Attrition]]="YES",HR_Employees[[#This Row],[Exit_Date]]&lt;&gt;""),YEAR(HR_Employees[[#This Row],[Exit_Date]]),"")</f>
        <v/>
      </c>
    </row>
    <row r="532" spans="1:19">
      <c r="A532" t="s">
        <v>907</v>
      </c>
      <c r="B532" t="s">
        <v>908</v>
      </c>
      <c r="C532">
        <v>28</v>
      </c>
      <c r="D532" t="s">
        <v>31</v>
      </c>
      <c r="E532" t="s">
        <v>32</v>
      </c>
      <c r="F532" t="s">
        <v>47</v>
      </c>
      <c r="G532" t="s">
        <v>23</v>
      </c>
      <c r="H532" s="2">
        <v>46081</v>
      </c>
      <c r="I532" s="2" t="str">
        <f>IFERROR(VLOOKUP(HR_Employees[[#This Row],[Employee_ID]],'[1]Synthetic Exit Data'!$A$2:$E$235,4,0)," NA")</f>
        <v>2026-09-30</v>
      </c>
      <c r="J532" t="s">
        <v>49</v>
      </c>
      <c r="K532">
        <v>3</v>
      </c>
      <c r="L532" s="3">
        <v>24245</v>
      </c>
      <c r="M532" t="s">
        <v>82</v>
      </c>
      <c r="N532" t="s">
        <v>43</v>
      </c>
      <c r="O532">
        <v>0.5</v>
      </c>
      <c r="P532" t="s">
        <v>125</v>
      </c>
      <c r="Q532" t="s">
        <v>44</v>
      </c>
      <c r="R532">
        <v>2026</v>
      </c>
      <c r="S532">
        <f>IF(AND(HR_Employees[[#This Row],[Attrition]]="YES",HR_Employees[[#This Row],[Exit_Date]]&lt;&gt;""),YEAR(HR_Employees[[#This Row],[Exit_Date]]),"")</f>
        <v>2026</v>
      </c>
    </row>
    <row r="533" spans="1:19">
      <c r="A533" t="s">
        <v>909</v>
      </c>
      <c r="B533" t="s">
        <v>153</v>
      </c>
      <c r="C533">
        <v>45</v>
      </c>
      <c r="D533" t="s">
        <v>61</v>
      </c>
      <c r="E533" t="s">
        <v>21</v>
      </c>
      <c r="F533" t="s">
        <v>55</v>
      </c>
      <c r="G533" t="s">
        <v>48</v>
      </c>
      <c r="H533" s="2">
        <v>44482</v>
      </c>
      <c r="I533" s="2" t="str">
        <f>IFERROR(VLOOKUP(HR_Employees[[#This Row],[Employee_ID]],'[1]Synthetic Exit Data'!$A$2:$E$235,4,0)," NA")</f>
        <v xml:space="preserve"> NA</v>
      </c>
      <c r="J533" t="s">
        <v>24</v>
      </c>
      <c r="K533">
        <v>4</v>
      </c>
      <c r="L533" s="3">
        <v>59228</v>
      </c>
      <c r="M533" t="s">
        <v>34</v>
      </c>
      <c r="N533" t="s">
        <v>50</v>
      </c>
      <c r="O533">
        <v>5</v>
      </c>
      <c r="P533" t="s">
        <v>51</v>
      </c>
      <c r="Q533" t="s">
        <v>62</v>
      </c>
      <c r="R533">
        <v>2021</v>
      </c>
      <c r="S533" t="str">
        <f>IF(AND(HR_Employees[[#This Row],[Attrition]]="YES",HR_Employees[[#This Row],[Exit_Date]]&lt;&gt;""),YEAR(HR_Employees[[#This Row],[Exit_Date]]),"")</f>
        <v/>
      </c>
    </row>
    <row r="534" spans="1:19">
      <c r="A534" t="s">
        <v>910</v>
      </c>
      <c r="B534" t="s">
        <v>323</v>
      </c>
      <c r="C534">
        <v>23</v>
      </c>
      <c r="D534" t="s">
        <v>39</v>
      </c>
      <c r="E534" t="s">
        <v>21</v>
      </c>
      <c r="F534" t="s">
        <v>55</v>
      </c>
      <c r="G534" t="s">
        <v>48</v>
      </c>
      <c r="H534" s="2">
        <v>43751</v>
      </c>
      <c r="I534" s="2" t="str">
        <f>IFERROR(VLOOKUP(HR_Employees[[#This Row],[Employee_ID]],'[1]Synthetic Exit Data'!$A$2:$E$235,4,0)," NA")</f>
        <v xml:space="preserve"> NA</v>
      </c>
      <c r="J534" t="s">
        <v>24</v>
      </c>
      <c r="K534">
        <v>2</v>
      </c>
      <c r="L534" s="3">
        <v>38811</v>
      </c>
      <c r="M534" t="s">
        <v>42</v>
      </c>
      <c r="N534" t="s">
        <v>79</v>
      </c>
      <c r="O534">
        <v>7</v>
      </c>
      <c r="P534" t="s">
        <v>27</v>
      </c>
      <c r="Q534" t="s">
        <v>28</v>
      </c>
      <c r="R534">
        <v>2019</v>
      </c>
      <c r="S534" t="str">
        <f>IF(AND(HR_Employees[[#This Row],[Attrition]]="YES",HR_Employees[[#This Row],[Exit_Date]]&lt;&gt;""),YEAR(HR_Employees[[#This Row],[Exit_Date]]),"")</f>
        <v/>
      </c>
    </row>
    <row r="535" spans="1:19">
      <c r="A535" t="s">
        <v>911</v>
      </c>
      <c r="B535" t="s">
        <v>72</v>
      </c>
      <c r="C535">
        <v>39</v>
      </c>
      <c r="D535" t="s">
        <v>61</v>
      </c>
      <c r="E535" t="s">
        <v>32</v>
      </c>
      <c r="F535" t="s">
        <v>151</v>
      </c>
      <c r="G535" t="s">
        <v>33</v>
      </c>
      <c r="H535" s="2">
        <v>46278</v>
      </c>
      <c r="I535" s="2" t="str">
        <f>IFERROR(VLOOKUP(HR_Employees[[#This Row],[Employee_ID]],'[1]Synthetic Exit Data'!$A$2:$E$235,4,0)," NA")</f>
        <v xml:space="preserve"> NA</v>
      </c>
      <c r="J535" t="s">
        <v>24</v>
      </c>
      <c r="K535">
        <v>2</v>
      </c>
      <c r="L535" s="3">
        <v>20469</v>
      </c>
      <c r="M535" t="s">
        <v>82</v>
      </c>
      <c r="N535" t="s">
        <v>43</v>
      </c>
      <c r="O535">
        <v>0.08</v>
      </c>
      <c r="P535" t="s">
        <v>51</v>
      </c>
      <c r="Q535" t="s">
        <v>62</v>
      </c>
      <c r="R535">
        <v>2026</v>
      </c>
      <c r="S535" t="str">
        <f>IF(AND(HR_Employees[[#This Row],[Attrition]]="YES",HR_Employees[[#This Row],[Exit_Date]]&lt;&gt;""),YEAR(HR_Employees[[#This Row],[Exit_Date]]),"")</f>
        <v/>
      </c>
    </row>
    <row r="536" spans="1:19">
      <c r="A536" t="s">
        <v>912</v>
      </c>
      <c r="B536" t="s">
        <v>779</v>
      </c>
      <c r="C536">
        <v>35</v>
      </c>
      <c r="D536" t="s">
        <v>31</v>
      </c>
      <c r="E536" t="s">
        <v>21</v>
      </c>
      <c r="F536" t="s">
        <v>22</v>
      </c>
      <c r="G536" t="s">
        <v>23</v>
      </c>
      <c r="H536" s="2">
        <v>45760</v>
      </c>
      <c r="I536" s="2" t="str">
        <f>IFERROR(VLOOKUP(HR_Employees[[#This Row],[Employee_ID]],'[1]Synthetic Exit Data'!$A$2:$E$235,4,0)," NA")</f>
        <v xml:space="preserve"> NA</v>
      </c>
      <c r="J536" t="s">
        <v>24</v>
      </c>
      <c r="K536">
        <v>1</v>
      </c>
      <c r="L536" s="3">
        <v>54461</v>
      </c>
      <c r="M536" t="s">
        <v>34</v>
      </c>
      <c r="N536" t="s">
        <v>56</v>
      </c>
      <c r="O536">
        <v>1.5</v>
      </c>
      <c r="P536" t="s">
        <v>57</v>
      </c>
      <c r="Q536" t="s">
        <v>92</v>
      </c>
      <c r="R536">
        <v>2025</v>
      </c>
      <c r="S536" t="str">
        <f>IF(AND(HR_Employees[[#This Row],[Attrition]]="YES",HR_Employees[[#This Row],[Exit_Date]]&lt;&gt;""),YEAR(HR_Employees[[#This Row],[Exit_Date]]),"")</f>
        <v/>
      </c>
    </row>
    <row r="537" spans="1:19">
      <c r="A537" t="s">
        <v>913</v>
      </c>
      <c r="B537" t="s">
        <v>914</v>
      </c>
      <c r="C537">
        <v>41</v>
      </c>
      <c r="D537" t="s">
        <v>61</v>
      </c>
      <c r="E537" t="s">
        <v>32</v>
      </c>
      <c r="F537" t="s">
        <v>40</v>
      </c>
      <c r="G537" t="s">
        <v>114</v>
      </c>
      <c r="H537" s="2">
        <v>46035</v>
      </c>
      <c r="I537" s="2" t="str">
        <f>IFERROR(VLOOKUP(HR_Employees[[#This Row],[Employee_ID]],'[1]Synthetic Exit Data'!$A$2:$E$235,4,0)," NA")</f>
        <v xml:space="preserve"> NA</v>
      </c>
      <c r="J537" t="s">
        <v>24</v>
      </c>
      <c r="K537">
        <v>1</v>
      </c>
      <c r="L537" s="3">
        <v>36725</v>
      </c>
      <c r="M537" t="s">
        <v>42</v>
      </c>
      <c r="N537" t="s">
        <v>43</v>
      </c>
      <c r="O537">
        <v>0.75</v>
      </c>
      <c r="P537" t="s">
        <v>83</v>
      </c>
      <c r="Q537" t="s">
        <v>44</v>
      </c>
      <c r="R537">
        <v>2026</v>
      </c>
      <c r="S537" t="str">
        <f>IF(AND(HR_Employees[[#This Row],[Attrition]]="YES",HR_Employees[[#This Row],[Exit_Date]]&lt;&gt;""),YEAR(HR_Employees[[#This Row],[Exit_Date]]),"")</f>
        <v/>
      </c>
    </row>
    <row r="538" spans="1:19">
      <c r="A538" t="s">
        <v>915</v>
      </c>
      <c r="B538" t="s">
        <v>916</v>
      </c>
      <c r="C538">
        <v>30</v>
      </c>
      <c r="D538" t="s">
        <v>31</v>
      </c>
      <c r="E538" t="s">
        <v>32</v>
      </c>
      <c r="F538" t="s">
        <v>109</v>
      </c>
      <c r="G538" t="s">
        <v>33</v>
      </c>
      <c r="H538" s="2">
        <v>45456</v>
      </c>
      <c r="I538" s="2" t="str">
        <f>IFERROR(VLOOKUP(HR_Employees[[#This Row],[Employee_ID]],'[1]Synthetic Exit Data'!$A$2:$E$235,4,0)," NA")</f>
        <v xml:space="preserve"> NA</v>
      </c>
      <c r="J538" t="s">
        <v>24</v>
      </c>
      <c r="K538">
        <v>3</v>
      </c>
      <c r="L538" s="3">
        <v>47038</v>
      </c>
      <c r="M538" t="s">
        <v>42</v>
      </c>
      <c r="N538" t="s">
        <v>56</v>
      </c>
      <c r="O538">
        <v>2.33</v>
      </c>
      <c r="P538" t="s">
        <v>35</v>
      </c>
      <c r="Q538" t="s">
        <v>36</v>
      </c>
      <c r="R538">
        <v>2024</v>
      </c>
      <c r="S538" t="str">
        <f>IF(AND(HR_Employees[[#This Row],[Attrition]]="YES",HR_Employees[[#This Row],[Exit_Date]]&lt;&gt;""),YEAR(HR_Employees[[#This Row],[Exit_Date]]),"")</f>
        <v/>
      </c>
    </row>
    <row r="539" spans="1:19">
      <c r="A539" t="s">
        <v>917</v>
      </c>
      <c r="B539" t="s">
        <v>833</v>
      </c>
      <c r="C539">
        <v>27</v>
      </c>
      <c r="D539" t="s">
        <v>31</v>
      </c>
      <c r="E539" t="s">
        <v>21</v>
      </c>
      <c r="F539" t="s">
        <v>47</v>
      </c>
      <c r="G539" t="s">
        <v>41</v>
      </c>
      <c r="H539" s="2">
        <v>44543</v>
      </c>
      <c r="I539" s="2" t="str">
        <f>IFERROR(VLOOKUP(HR_Employees[[#This Row],[Employee_ID]],'[1]Synthetic Exit Data'!$A$2:$E$235,4,0)," NA")</f>
        <v xml:space="preserve"> NA</v>
      </c>
      <c r="J539" t="s">
        <v>24</v>
      </c>
      <c r="K539">
        <v>3</v>
      </c>
      <c r="L539" s="3">
        <v>135986</v>
      </c>
      <c r="M539" t="s">
        <v>25</v>
      </c>
      <c r="N539" t="s">
        <v>50</v>
      </c>
      <c r="O539">
        <v>4.83</v>
      </c>
      <c r="P539" t="s">
        <v>125</v>
      </c>
      <c r="Q539" t="s">
        <v>28</v>
      </c>
      <c r="R539">
        <v>2021</v>
      </c>
      <c r="S539" t="str">
        <f>IF(AND(HR_Employees[[#This Row],[Attrition]]="YES",HR_Employees[[#This Row],[Exit_Date]]&lt;&gt;""),YEAR(HR_Employees[[#This Row],[Exit_Date]]),"")</f>
        <v/>
      </c>
    </row>
    <row r="540" spans="1:19">
      <c r="A540" t="s">
        <v>918</v>
      </c>
      <c r="B540" t="s">
        <v>469</v>
      </c>
      <c r="C540">
        <v>46</v>
      </c>
      <c r="D540" t="s">
        <v>20</v>
      </c>
      <c r="E540" t="s">
        <v>21</v>
      </c>
      <c r="F540" t="s">
        <v>47</v>
      </c>
      <c r="G540" t="s">
        <v>33</v>
      </c>
      <c r="H540" s="2">
        <v>44781</v>
      </c>
      <c r="I540" s="2" t="str">
        <f>IFERROR(VLOOKUP(HR_Employees[[#This Row],[Employee_ID]],'[1]Synthetic Exit Data'!$A$2:$E$235,4,0)," NA")</f>
        <v>2022-11-12</v>
      </c>
      <c r="J540" t="s">
        <v>49</v>
      </c>
      <c r="K540">
        <v>3</v>
      </c>
      <c r="L540" s="3">
        <v>19234</v>
      </c>
      <c r="M540" t="s">
        <v>82</v>
      </c>
      <c r="N540" t="s">
        <v>50</v>
      </c>
      <c r="O540">
        <v>4.08</v>
      </c>
      <c r="P540" t="s">
        <v>27</v>
      </c>
      <c r="Q540" t="s">
        <v>86</v>
      </c>
      <c r="R540">
        <v>2022</v>
      </c>
      <c r="S540">
        <f>IF(AND(HR_Employees[[#This Row],[Attrition]]="YES",HR_Employees[[#This Row],[Exit_Date]]&lt;&gt;""),YEAR(HR_Employees[[#This Row],[Exit_Date]]),"")</f>
        <v>2022</v>
      </c>
    </row>
    <row r="541" spans="1:19">
      <c r="A541" t="s">
        <v>919</v>
      </c>
      <c r="B541" t="s">
        <v>212</v>
      </c>
      <c r="C541">
        <v>29</v>
      </c>
      <c r="D541" t="s">
        <v>31</v>
      </c>
      <c r="E541" t="s">
        <v>21</v>
      </c>
      <c r="F541" t="s">
        <v>109</v>
      </c>
      <c r="G541" t="s">
        <v>23</v>
      </c>
      <c r="H541" s="2">
        <v>45974</v>
      </c>
      <c r="I541" s="2" t="str">
        <f>IFERROR(VLOOKUP(HR_Employees[[#This Row],[Employee_ID]],'[1]Synthetic Exit Data'!$A$2:$E$235,4,0)," NA")</f>
        <v xml:space="preserve"> NA</v>
      </c>
      <c r="J541" t="s">
        <v>24</v>
      </c>
      <c r="K541">
        <v>5</v>
      </c>
      <c r="L541" s="3">
        <v>30446</v>
      </c>
      <c r="M541" t="s">
        <v>42</v>
      </c>
      <c r="N541" t="s">
        <v>43</v>
      </c>
      <c r="O541">
        <v>0.92</v>
      </c>
      <c r="P541" t="s">
        <v>27</v>
      </c>
      <c r="Q541" t="s">
        <v>44</v>
      </c>
      <c r="R541">
        <v>2025</v>
      </c>
      <c r="S541" t="str">
        <f>IF(AND(HR_Employees[[#This Row],[Attrition]]="YES",HR_Employees[[#This Row],[Exit_Date]]&lt;&gt;""),YEAR(HR_Employees[[#This Row],[Exit_Date]]),"")</f>
        <v/>
      </c>
    </row>
    <row r="542" spans="1:19">
      <c r="A542" t="s">
        <v>920</v>
      </c>
      <c r="B542" t="s">
        <v>921</v>
      </c>
      <c r="C542">
        <v>46</v>
      </c>
      <c r="D542" t="s">
        <v>20</v>
      </c>
      <c r="E542" t="s">
        <v>21</v>
      </c>
      <c r="F542" t="s">
        <v>22</v>
      </c>
      <c r="G542" t="s">
        <v>23</v>
      </c>
      <c r="H542" s="2">
        <v>45701</v>
      </c>
      <c r="I542" s="2" t="str">
        <f>IFERROR(VLOOKUP(HR_Employees[[#This Row],[Employee_ID]],'[1]Synthetic Exit Data'!$A$2:$E$235,4,0)," NA")</f>
        <v xml:space="preserve"> NA</v>
      </c>
      <c r="J542" t="s">
        <v>24</v>
      </c>
      <c r="K542">
        <v>4</v>
      </c>
      <c r="L542" s="3">
        <v>68653</v>
      </c>
      <c r="M542" t="s">
        <v>34</v>
      </c>
      <c r="N542" t="s">
        <v>56</v>
      </c>
      <c r="O542">
        <v>1.67</v>
      </c>
      <c r="P542" t="s">
        <v>35</v>
      </c>
      <c r="Q542" t="s">
        <v>62</v>
      </c>
      <c r="R542">
        <v>2025</v>
      </c>
      <c r="S542" t="str">
        <f>IF(AND(HR_Employees[[#This Row],[Attrition]]="YES",HR_Employees[[#This Row],[Exit_Date]]&lt;&gt;""),YEAR(HR_Employees[[#This Row],[Exit_Date]]),"")</f>
        <v/>
      </c>
    </row>
    <row r="543" spans="1:19">
      <c r="A543" t="s">
        <v>922</v>
      </c>
      <c r="B543" t="s">
        <v>412</v>
      </c>
      <c r="C543">
        <v>32</v>
      </c>
      <c r="D543" t="s">
        <v>31</v>
      </c>
      <c r="E543" t="s">
        <v>32</v>
      </c>
      <c r="F543" t="s">
        <v>47</v>
      </c>
      <c r="G543" t="s">
        <v>33</v>
      </c>
      <c r="H543" s="2">
        <v>43294</v>
      </c>
      <c r="I543" s="2" t="str">
        <f>IFERROR(VLOOKUP(HR_Employees[[#This Row],[Employee_ID]],'[1]Synthetic Exit Data'!$A$2:$E$235,4,0)," NA")</f>
        <v xml:space="preserve"> NA</v>
      </c>
      <c r="J543" t="s">
        <v>24</v>
      </c>
      <c r="K543">
        <v>4</v>
      </c>
      <c r="L543" s="3">
        <v>85091</v>
      </c>
      <c r="M543" t="s">
        <v>66</v>
      </c>
      <c r="N543" t="s">
        <v>79</v>
      </c>
      <c r="O543">
        <v>8.25</v>
      </c>
      <c r="P543" t="s">
        <v>27</v>
      </c>
      <c r="Q543" t="s">
        <v>62</v>
      </c>
      <c r="R543">
        <v>2018</v>
      </c>
      <c r="S543" t="str">
        <f>IF(AND(HR_Employees[[#This Row],[Attrition]]="YES",HR_Employees[[#This Row],[Exit_Date]]&lt;&gt;""),YEAR(HR_Employees[[#This Row],[Exit_Date]]),"")</f>
        <v/>
      </c>
    </row>
    <row r="544" spans="1:19">
      <c r="A544" t="s">
        <v>923</v>
      </c>
      <c r="B544" t="s">
        <v>673</v>
      </c>
      <c r="C544">
        <v>28</v>
      </c>
      <c r="D544" t="s">
        <v>31</v>
      </c>
      <c r="E544" t="s">
        <v>21</v>
      </c>
      <c r="F544" t="s">
        <v>22</v>
      </c>
      <c r="G544" t="s">
        <v>23</v>
      </c>
      <c r="H544" s="2">
        <v>44694</v>
      </c>
      <c r="I544" s="2" t="str">
        <f>IFERROR(VLOOKUP(HR_Employees[[#This Row],[Employee_ID]],'[1]Synthetic Exit Data'!$A$2:$E$235,4,0)," NA")</f>
        <v xml:space="preserve"> NA</v>
      </c>
      <c r="J544" t="s">
        <v>24</v>
      </c>
      <c r="K544">
        <v>2</v>
      </c>
      <c r="L544" s="3">
        <v>170405</v>
      </c>
      <c r="M544" t="s">
        <v>25</v>
      </c>
      <c r="N544" t="s">
        <v>50</v>
      </c>
      <c r="O544">
        <v>4.42</v>
      </c>
      <c r="P544" t="s">
        <v>35</v>
      </c>
      <c r="Q544" t="s">
        <v>62</v>
      </c>
      <c r="R544">
        <v>2022</v>
      </c>
      <c r="S544" t="str">
        <f>IF(AND(HR_Employees[[#This Row],[Attrition]]="YES",HR_Employees[[#This Row],[Exit_Date]]&lt;&gt;""),YEAR(HR_Employees[[#This Row],[Exit_Date]]),"")</f>
        <v/>
      </c>
    </row>
    <row r="545" spans="1:19">
      <c r="A545" t="s">
        <v>924</v>
      </c>
      <c r="B545" t="s">
        <v>757</v>
      </c>
      <c r="C545">
        <v>32</v>
      </c>
      <c r="D545" t="s">
        <v>31</v>
      </c>
      <c r="E545" t="s">
        <v>32</v>
      </c>
      <c r="F545" t="s">
        <v>47</v>
      </c>
      <c r="G545" t="s">
        <v>33</v>
      </c>
      <c r="H545" s="2">
        <v>46035</v>
      </c>
      <c r="I545" s="2" t="str">
        <f>IFERROR(VLOOKUP(HR_Employees[[#This Row],[Employee_ID]],'[1]Synthetic Exit Data'!$A$2:$E$235,4,0)," NA")</f>
        <v xml:space="preserve"> NA</v>
      </c>
      <c r="J545" t="s">
        <v>24</v>
      </c>
      <c r="K545">
        <v>3</v>
      </c>
      <c r="L545" s="3">
        <v>91060</v>
      </c>
      <c r="M545" t="s">
        <v>66</v>
      </c>
      <c r="N545" t="s">
        <v>43</v>
      </c>
      <c r="O545">
        <v>0.75</v>
      </c>
      <c r="P545" t="s">
        <v>51</v>
      </c>
      <c r="Q545" t="s">
        <v>92</v>
      </c>
      <c r="R545">
        <v>2026</v>
      </c>
      <c r="S545" t="str">
        <f>IF(AND(HR_Employees[[#This Row],[Attrition]]="YES",HR_Employees[[#This Row],[Exit_Date]]&lt;&gt;""),YEAR(HR_Employees[[#This Row],[Exit_Date]]),"")</f>
        <v/>
      </c>
    </row>
    <row r="546" spans="1:19">
      <c r="A546" t="s">
        <v>925</v>
      </c>
      <c r="B546" t="s">
        <v>926</v>
      </c>
      <c r="C546">
        <v>40</v>
      </c>
      <c r="D546" t="s">
        <v>61</v>
      </c>
      <c r="E546" t="s">
        <v>32</v>
      </c>
      <c r="F546" t="s">
        <v>151</v>
      </c>
      <c r="G546" t="s">
        <v>33</v>
      </c>
      <c r="H546" s="2">
        <v>44664</v>
      </c>
      <c r="I546" s="2" t="str">
        <f>IFERROR(VLOOKUP(HR_Employees[[#This Row],[Employee_ID]],'[1]Synthetic Exit Data'!$A$2:$E$235,4,0)," NA")</f>
        <v xml:space="preserve"> NA</v>
      </c>
      <c r="J546" t="s">
        <v>24</v>
      </c>
      <c r="K546">
        <v>4</v>
      </c>
      <c r="L546" s="3">
        <v>81632</v>
      </c>
      <c r="M546" t="s">
        <v>66</v>
      </c>
      <c r="N546" t="s">
        <v>50</v>
      </c>
      <c r="O546">
        <v>4.5</v>
      </c>
      <c r="P546" t="s">
        <v>27</v>
      </c>
      <c r="Q546" t="s">
        <v>76</v>
      </c>
      <c r="R546">
        <v>2022</v>
      </c>
      <c r="S546" t="str">
        <f>IF(AND(HR_Employees[[#This Row],[Attrition]]="YES",HR_Employees[[#This Row],[Exit_Date]]&lt;&gt;""),YEAR(HR_Employees[[#This Row],[Exit_Date]]),"")</f>
        <v/>
      </c>
    </row>
    <row r="547" spans="1:19">
      <c r="A547" t="s">
        <v>927</v>
      </c>
      <c r="B547" t="s">
        <v>928</v>
      </c>
      <c r="C547">
        <v>30</v>
      </c>
      <c r="D547" t="s">
        <v>31</v>
      </c>
      <c r="E547" t="s">
        <v>21</v>
      </c>
      <c r="F547" t="s">
        <v>22</v>
      </c>
      <c r="G547" t="s">
        <v>23</v>
      </c>
      <c r="H547" s="2">
        <v>45418</v>
      </c>
      <c r="I547" s="2" t="str">
        <f>IFERROR(VLOOKUP(HR_Employees[[#This Row],[Employee_ID]],'[1]Synthetic Exit Data'!$A$2:$E$235,4,0)," NA")</f>
        <v>2024-05-25</v>
      </c>
      <c r="J547" t="s">
        <v>49</v>
      </c>
      <c r="K547">
        <v>3</v>
      </c>
      <c r="L547" s="3">
        <v>35313</v>
      </c>
      <c r="M547" t="s">
        <v>42</v>
      </c>
      <c r="N547" t="s">
        <v>56</v>
      </c>
      <c r="O547">
        <v>2.25</v>
      </c>
      <c r="P547" t="s">
        <v>83</v>
      </c>
      <c r="Q547" t="s">
        <v>28</v>
      </c>
      <c r="R547">
        <v>2024</v>
      </c>
      <c r="S547">
        <f>IF(AND(HR_Employees[[#This Row],[Attrition]]="YES",HR_Employees[[#This Row],[Exit_Date]]&lt;&gt;""),YEAR(HR_Employees[[#This Row],[Exit_Date]]),"")</f>
        <v>2024</v>
      </c>
    </row>
    <row r="548" spans="1:19">
      <c r="A548" t="s">
        <v>929</v>
      </c>
      <c r="B548" t="s">
        <v>558</v>
      </c>
      <c r="C548">
        <v>55</v>
      </c>
      <c r="D548" t="s">
        <v>20</v>
      </c>
      <c r="E548" t="s">
        <v>21</v>
      </c>
      <c r="F548" t="s">
        <v>73</v>
      </c>
      <c r="G548" t="s">
        <v>48</v>
      </c>
      <c r="H548" s="2">
        <v>46072</v>
      </c>
      <c r="I548" s="2" t="str">
        <f>IFERROR(VLOOKUP(HR_Employees[[#This Row],[Employee_ID]],'[1]Synthetic Exit Data'!$A$2:$E$235,4,0)," NA")</f>
        <v>2026-10-11</v>
      </c>
      <c r="J548" t="s">
        <v>49</v>
      </c>
      <c r="K548">
        <v>4</v>
      </c>
      <c r="L548" s="3">
        <v>88142</v>
      </c>
      <c r="M548" t="s">
        <v>66</v>
      </c>
      <c r="N548" t="s">
        <v>43</v>
      </c>
      <c r="O548">
        <v>0.57999999999999996</v>
      </c>
      <c r="P548" t="s">
        <v>51</v>
      </c>
      <c r="Q548" t="s">
        <v>58</v>
      </c>
      <c r="R548">
        <v>2026</v>
      </c>
      <c r="S548">
        <f>IF(AND(HR_Employees[[#This Row],[Attrition]]="YES",HR_Employees[[#This Row],[Exit_Date]]&lt;&gt;""),YEAR(HR_Employees[[#This Row],[Exit_Date]]),"")</f>
        <v>2026</v>
      </c>
    </row>
    <row r="549" spans="1:19">
      <c r="A549" t="s">
        <v>930</v>
      </c>
      <c r="B549" t="s">
        <v>85</v>
      </c>
      <c r="C549">
        <v>24</v>
      </c>
      <c r="D549" t="s">
        <v>39</v>
      </c>
      <c r="E549" t="s">
        <v>32</v>
      </c>
      <c r="F549" t="s">
        <v>109</v>
      </c>
      <c r="G549" t="s">
        <v>48</v>
      </c>
      <c r="H549" s="2">
        <v>45946</v>
      </c>
      <c r="I549" s="2" t="str">
        <f>IFERROR(VLOOKUP(HR_Employees[[#This Row],[Employee_ID]],'[1]Synthetic Exit Data'!$A$2:$E$235,4,0)," NA")</f>
        <v>2025-10-17</v>
      </c>
      <c r="J549" t="s">
        <v>49</v>
      </c>
      <c r="K549">
        <v>2</v>
      </c>
      <c r="L549" s="3">
        <v>24999</v>
      </c>
      <c r="M549" t="s">
        <v>82</v>
      </c>
      <c r="N549" t="s">
        <v>43</v>
      </c>
      <c r="O549">
        <v>0.83</v>
      </c>
      <c r="P549" t="s">
        <v>35</v>
      </c>
      <c r="Q549" t="s">
        <v>58</v>
      </c>
      <c r="R549">
        <v>2025</v>
      </c>
      <c r="S549">
        <f>IF(AND(HR_Employees[[#This Row],[Attrition]]="YES",HR_Employees[[#This Row],[Exit_Date]]&lt;&gt;""),YEAR(HR_Employees[[#This Row],[Exit_Date]]),"")</f>
        <v>2025</v>
      </c>
    </row>
    <row r="550" spans="1:19">
      <c r="A550" t="s">
        <v>931</v>
      </c>
      <c r="B550" t="s">
        <v>932</v>
      </c>
      <c r="C550">
        <v>24</v>
      </c>
      <c r="D550" t="s">
        <v>39</v>
      </c>
      <c r="E550" t="s">
        <v>32</v>
      </c>
      <c r="F550" t="s">
        <v>40</v>
      </c>
      <c r="G550" t="s">
        <v>41</v>
      </c>
      <c r="H550" s="2">
        <v>45273</v>
      </c>
      <c r="I550" s="2" t="str">
        <f>IFERROR(VLOOKUP(HR_Employees[[#This Row],[Employee_ID]],'[1]Synthetic Exit Data'!$A$2:$E$235,4,0)," NA")</f>
        <v xml:space="preserve"> NA</v>
      </c>
      <c r="J550" t="s">
        <v>24</v>
      </c>
      <c r="K550">
        <v>5</v>
      </c>
      <c r="L550" s="3">
        <v>41013</v>
      </c>
      <c r="M550" t="s">
        <v>42</v>
      </c>
      <c r="N550" t="s">
        <v>56</v>
      </c>
      <c r="O550">
        <v>2.83</v>
      </c>
      <c r="P550" t="s">
        <v>51</v>
      </c>
      <c r="Q550" t="s">
        <v>44</v>
      </c>
      <c r="R550">
        <v>2023</v>
      </c>
      <c r="S550" t="str">
        <f>IF(AND(HR_Employees[[#This Row],[Attrition]]="YES",HR_Employees[[#This Row],[Exit_Date]]&lt;&gt;""),YEAR(HR_Employees[[#This Row],[Exit_Date]]),"")</f>
        <v/>
      </c>
    </row>
    <row r="551" spans="1:19">
      <c r="A551" t="s">
        <v>933</v>
      </c>
      <c r="B551" t="s">
        <v>934</v>
      </c>
      <c r="C551">
        <v>44</v>
      </c>
      <c r="D551" t="s">
        <v>61</v>
      </c>
      <c r="E551" t="s">
        <v>21</v>
      </c>
      <c r="F551" t="s">
        <v>55</v>
      </c>
      <c r="G551" t="s">
        <v>48</v>
      </c>
      <c r="H551" s="2">
        <v>40546</v>
      </c>
      <c r="I551" s="2" t="str">
        <f>IFERROR(VLOOKUP(HR_Employees[[#This Row],[Employee_ID]],'[1]Synthetic Exit Data'!$A$2:$E$235,4,0)," NA")</f>
        <v>2018-09-08</v>
      </c>
      <c r="J551" t="s">
        <v>49</v>
      </c>
      <c r="K551">
        <v>3</v>
      </c>
      <c r="L551" s="3">
        <v>28697</v>
      </c>
      <c r="M551" t="s">
        <v>82</v>
      </c>
      <c r="N551" t="s">
        <v>26</v>
      </c>
      <c r="O551">
        <v>15.58</v>
      </c>
      <c r="P551" t="s">
        <v>125</v>
      </c>
      <c r="Q551" t="s">
        <v>86</v>
      </c>
      <c r="R551">
        <v>2011</v>
      </c>
      <c r="S551">
        <f>IF(AND(HR_Employees[[#This Row],[Attrition]]="YES",HR_Employees[[#This Row],[Exit_Date]]&lt;&gt;""),YEAR(HR_Employees[[#This Row],[Exit_Date]]),"")</f>
        <v>2018</v>
      </c>
    </row>
    <row r="552" spans="1:19">
      <c r="A552" t="s">
        <v>935</v>
      </c>
      <c r="B552" t="s">
        <v>936</v>
      </c>
      <c r="C552">
        <v>40</v>
      </c>
      <c r="D552" t="s">
        <v>61</v>
      </c>
      <c r="E552" t="s">
        <v>21</v>
      </c>
      <c r="F552" t="s">
        <v>22</v>
      </c>
      <c r="G552" t="s">
        <v>33</v>
      </c>
      <c r="H552" s="2">
        <v>46155</v>
      </c>
      <c r="I552" s="2" t="str">
        <f>IFERROR(VLOOKUP(HR_Employees[[#This Row],[Employee_ID]],'[1]Synthetic Exit Data'!$A$2:$E$235,4,0)," NA")</f>
        <v xml:space="preserve"> NA</v>
      </c>
      <c r="J552" t="s">
        <v>24</v>
      </c>
      <c r="K552">
        <v>2</v>
      </c>
      <c r="L552" s="3">
        <v>76059</v>
      </c>
      <c r="M552" t="s">
        <v>66</v>
      </c>
      <c r="N552" t="s">
        <v>43</v>
      </c>
      <c r="O552">
        <v>0.42</v>
      </c>
      <c r="P552" t="s">
        <v>27</v>
      </c>
      <c r="Q552" t="s">
        <v>86</v>
      </c>
      <c r="R552">
        <v>2026</v>
      </c>
      <c r="S552" t="str">
        <f>IF(AND(HR_Employees[[#This Row],[Attrition]]="YES",HR_Employees[[#This Row],[Exit_Date]]&lt;&gt;""),YEAR(HR_Employees[[#This Row],[Exit_Date]]),"")</f>
        <v/>
      </c>
    </row>
    <row r="553" spans="1:19">
      <c r="A553" t="s">
        <v>937</v>
      </c>
      <c r="B553" t="s">
        <v>30</v>
      </c>
      <c r="C553">
        <v>36</v>
      </c>
      <c r="D553" t="s">
        <v>61</v>
      </c>
      <c r="E553" t="s">
        <v>21</v>
      </c>
      <c r="F553" t="s">
        <v>151</v>
      </c>
      <c r="G553" t="s">
        <v>33</v>
      </c>
      <c r="H553" s="2">
        <v>45762</v>
      </c>
      <c r="I553" s="2" t="str">
        <f>IFERROR(VLOOKUP(HR_Employees[[#This Row],[Employee_ID]],'[1]Synthetic Exit Data'!$A$2:$E$235,4,0)," NA")</f>
        <v>2025-07-01</v>
      </c>
      <c r="J553" t="s">
        <v>49</v>
      </c>
      <c r="K553">
        <v>3</v>
      </c>
      <c r="L553" s="3">
        <v>55832</v>
      </c>
      <c r="M553" t="s">
        <v>34</v>
      </c>
      <c r="N553" t="s">
        <v>56</v>
      </c>
      <c r="O553">
        <v>1.33</v>
      </c>
      <c r="P553" t="s">
        <v>27</v>
      </c>
      <c r="Q553" t="s">
        <v>92</v>
      </c>
      <c r="R553">
        <v>2025</v>
      </c>
      <c r="S553">
        <f>IF(AND(HR_Employees[[#This Row],[Attrition]]="YES",HR_Employees[[#This Row],[Exit_Date]]&lt;&gt;""),YEAR(HR_Employees[[#This Row],[Exit_Date]]),"")</f>
        <v>2025</v>
      </c>
    </row>
    <row r="554" spans="1:19">
      <c r="A554" t="s">
        <v>938</v>
      </c>
      <c r="B554" t="s">
        <v>158</v>
      </c>
      <c r="C554">
        <v>52</v>
      </c>
      <c r="D554" t="s">
        <v>20</v>
      </c>
      <c r="E554" t="s">
        <v>21</v>
      </c>
      <c r="F554" t="s">
        <v>47</v>
      </c>
      <c r="G554" t="s">
        <v>41</v>
      </c>
      <c r="H554" s="2">
        <v>44452</v>
      </c>
      <c r="I554" s="2" t="str">
        <f>IFERROR(VLOOKUP(HR_Employees[[#This Row],[Employee_ID]],'[1]Synthetic Exit Data'!$A$2:$E$235,4,0)," NA")</f>
        <v xml:space="preserve"> NA</v>
      </c>
      <c r="J554" t="s">
        <v>24</v>
      </c>
      <c r="K554">
        <v>1</v>
      </c>
      <c r="L554" s="3">
        <v>99880</v>
      </c>
      <c r="M554" t="s">
        <v>66</v>
      </c>
      <c r="N554" t="s">
        <v>79</v>
      </c>
      <c r="O554">
        <v>5.08</v>
      </c>
      <c r="P554" t="s">
        <v>125</v>
      </c>
      <c r="Q554" t="s">
        <v>86</v>
      </c>
      <c r="R554">
        <v>2021</v>
      </c>
      <c r="S554" t="str">
        <f>IF(AND(HR_Employees[[#This Row],[Attrition]]="YES",HR_Employees[[#This Row],[Exit_Date]]&lt;&gt;""),YEAR(HR_Employees[[#This Row],[Exit_Date]]),"")</f>
        <v/>
      </c>
    </row>
    <row r="555" spans="1:19">
      <c r="A555" t="s">
        <v>939</v>
      </c>
      <c r="B555" t="s">
        <v>153</v>
      </c>
      <c r="C555">
        <v>43</v>
      </c>
      <c r="D555" t="s">
        <v>61</v>
      </c>
      <c r="E555" t="s">
        <v>32</v>
      </c>
      <c r="F555" t="s">
        <v>55</v>
      </c>
      <c r="G555" t="s">
        <v>41</v>
      </c>
      <c r="H555" s="2">
        <v>42021</v>
      </c>
      <c r="I555" s="2" t="str">
        <f>IFERROR(VLOOKUP(HR_Employees[[#This Row],[Employee_ID]],'[1]Synthetic Exit Data'!$A$2:$E$235,4,0)," NA")</f>
        <v>2017-05-24</v>
      </c>
      <c r="J555" t="s">
        <v>49</v>
      </c>
      <c r="K555">
        <v>3</v>
      </c>
      <c r="L555" s="3">
        <v>60715</v>
      </c>
      <c r="M555" t="s">
        <v>34</v>
      </c>
      <c r="N555" t="s">
        <v>26</v>
      </c>
      <c r="O555">
        <v>11.67</v>
      </c>
      <c r="P555" t="s">
        <v>57</v>
      </c>
      <c r="Q555" t="s">
        <v>62</v>
      </c>
      <c r="R555">
        <v>2015</v>
      </c>
      <c r="S555">
        <f>IF(AND(HR_Employees[[#This Row],[Attrition]]="YES",HR_Employees[[#This Row],[Exit_Date]]&lt;&gt;""),YEAR(HR_Employees[[#This Row],[Exit_Date]]),"")</f>
        <v>2017</v>
      </c>
    </row>
    <row r="556" spans="1:19">
      <c r="A556" t="s">
        <v>940</v>
      </c>
      <c r="B556" t="s">
        <v>393</v>
      </c>
      <c r="C556">
        <v>24</v>
      </c>
      <c r="D556" t="s">
        <v>39</v>
      </c>
      <c r="E556" t="s">
        <v>21</v>
      </c>
      <c r="F556" t="s">
        <v>151</v>
      </c>
      <c r="G556" t="s">
        <v>41</v>
      </c>
      <c r="H556" s="2">
        <v>46247</v>
      </c>
      <c r="I556" s="2" t="str">
        <f>IFERROR(VLOOKUP(HR_Employees[[#This Row],[Employee_ID]],'[1]Synthetic Exit Data'!$A$2:$E$235,4,0)," NA")</f>
        <v xml:space="preserve"> NA</v>
      </c>
      <c r="J556" t="s">
        <v>24</v>
      </c>
      <c r="K556">
        <v>3</v>
      </c>
      <c r="L556" s="3">
        <v>38192</v>
      </c>
      <c r="M556" t="s">
        <v>42</v>
      </c>
      <c r="N556" t="s">
        <v>43</v>
      </c>
      <c r="O556">
        <v>0.17</v>
      </c>
      <c r="P556" t="s">
        <v>57</v>
      </c>
      <c r="Q556" t="s">
        <v>76</v>
      </c>
      <c r="R556">
        <v>2026</v>
      </c>
      <c r="S556" t="str">
        <f>IF(AND(HR_Employees[[#This Row],[Attrition]]="YES",HR_Employees[[#This Row],[Exit_Date]]&lt;&gt;""),YEAR(HR_Employees[[#This Row],[Exit_Date]]),"")</f>
        <v/>
      </c>
    </row>
    <row r="557" spans="1:19">
      <c r="A557" t="s">
        <v>941</v>
      </c>
      <c r="B557" t="s">
        <v>327</v>
      </c>
      <c r="C557">
        <v>41</v>
      </c>
      <c r="D557" t="s">
        <v>61</v>
      </c>
      <c r="E557" t="s">
        <v>32</v>
      </c>
      <c r="F557" t="s">
        <v>55</v>
      </c>
      <c r="G557" t="s">
        <v>33</v>
      </c>
      <c r="H557" s="2">
        <v>42503</v>
      </c>
      <c r="I557" s="2" t="str">
        <f>IFERROR(VLOOKUP(HR_Employees[[#This Row],[Employee_ID]],'[1]Synthetic Exit Data'!$A$2:$E$235,4,0)," NA")</f>
        <v xml:space="preserve"> NA</v>
      </c>
      <c r="J557" t="s">
        <v>24</v>
      </c>
      <c r="K557">
        <v>4</v>
      </c>
      <c r="L557" s="3">
        <v>73632</v>
      </c>
      <c r="M557" t="s">
        <v>34</v>
      </c>
      <c r="N557" t="s">
        <v>26</v>
      </c>
      <c r="O557">
        <v>10.42</v>
      </c>
      <c r="P557" t="s">
        <v>51</v>
      </c>
      <c r="Q557" t="s">
        <v>62</v>
      </c>
      <c r="R557">
        <v>2016</v>
      </c>
      <c r="S557" t="str">
        <f>IF(AND(HR_Employees[[#This Row],[Attrition]]="YES",HR_Employees[[#This Row],[Exit_Date]]&lt;&gt;""),YEAR(HR_Employees[[#This Row],[Exit_Date]]),"")</f>
        <v/>
      </c>
    </row>
    <row r="558" spans="1:19">
      <c r="A558" t="s">
        <v>942</v>
      </c>
      <c r="B558" t="s">
        <v>275</v>
      </c>
      <c r="C558">
        <v>41</v>
      </c>
      <c r="D558" t="s">
        <v>61</v>
      </c>
      <c r="E558" t="s">
        <v>21</v>
      </c>
      <c r="F558" t="s">
        <v>47</v>
      </c>
      <c r="G558" t="s">
        <v>33</v>
      </c>
      <c r="H558" s="2">
        <v>45425</v>
      </c>
      <c r="I558" s="2" t="str">
        <f>IFERROR(VLOOKUP(HR_Employees[[#This Row],[Employee_ID]],'[1]Synthetic Exit Data'!$A$2:$E$235,4,0)," NA")</f>
        <v xml:space="preserve"> NA</v>
      </c>
      <c r="J558" t="s">
        <v>24</v>
      </c>
      <c r="K558">
        <v>5</v>
      </c>
      <c r="L558" s="3">
        <v>85469</v>
      </c>
      <c r="M558" t="s">
        <v>66</v>
      </c>
      <c r="N558" t="s">
        <v>56</v>
      </c>
      <c r="O558">
        <v>2.42</v>
      </c>
      <c r="P558" t="s">
        <v>27</v>
      </c>
      <c r="Q558" t="s">
        <v>62</v>
      </c>
      <c r="R558">
        <v>2024</v>
      </c>
      <c r="S558" t="str">
        <f>IF(AND(HR_Employees[[#This Row],[Attrition]]="YES",HR_Employees[[#This Row],[Exit_Date]]&lt;&gt;""),YEAR(HR_Employees[[#This Row],[Exit_Date]]),"")</f>
        <v/>
      </c>
    </row>
    <row r="559" spans="1:19">
      <c r="A559" t="s">
        <v>943</v>
      </c>
      <c r="B559" t="s">
        <v>106</v>
      </c>
      <c r="C559">
        <v>34</v>
      </c>
      <c r="D559" t="s">
        <v>31</v>
      </c>
      <c r="E559" t="s">
        <v>32</v>
      </c>
      <c r="F559" t="s">
        <v>55</v>
      </c>
      <c r="G559" t="s">
        <v>33</v>
      </c>
      <c r="H559" s="2">
        <v>45090</v>
      </c>
      <c r="I559" s="2" t="str">
        <f>IFERROR(VLOOKUP(HR_Employees[[#This Row],[Employee_ID]],'[1]Synthetic Exit Data'!$A$2:$E$235,4,0)," NA")</f>
        <v xml:space="preserve"> NA</v>
      </c>
      <c r="J559" t="s">
        <v>24</v>
      </c>
      <c r="K559">
        <v>4</v>
      </c>
      <c r="L559" s="3">
        <v>22544</v>
      </c>
      <c r="M559" t="s">
        <v>82</v>
      </c>
      <c r="N559" t="s">
        <v>50</v>
      </c>
      <c r="O559">
        <v>3.33</v>
      </c>
      <c r="P559" t="s">
        <v>83</v>
      </c>
      <c r="Q559" t="s">
        <v>92</v>
      </c>
      <c r="R559">
        <v>2023</v>
      </c>
      <c r="S559" t="str">
        <f>IF(AND(HR_Employees[[#This Row],[Attrition]]="YES",HR_Employees[[#This Row],[Exit_Date]]&lt;&gt;""),YEAR(HR_Employees[[#This Row],[Exit_Date]]),"")</f>
        <v/>
      </c>
    </row>
    <row r="560" spans="1:19">
      <c r="A560" t="s">
        <v>944</v>
      </c>
      <c r="B560" t="s">
        <v>220</v>
      </c>
      <c r="C560">
        <v>29</v>
      </c>
      <c r="D560" t="s">
        <v>31</v>
      </c>
      <c r="E560" t="s">
        <v>32</v>
      </c>
      <c r="F560" t="s">
        <v>109</v>
      </c>
      <c r="G560" t="s">
        <v>114</v>
      </c>
      <c r="H560" s="2">
        <v>45182</v>
      </c>
      <c r="I560" s="2" t="str">
        <f>IFERROR(VLOOKUP(HR_Employees[[#This Row],[Employee_ID]],'[1]Synthetic Exit Data'!$A$2:$E$235,4,0)," NA")</f>
        <v xml:space="preserve"> NA</v>
      </c>
      <c r="J560" t="s">
        <v>24</v>
      </c>
      <c r="K560">
        <v>2</v>
      </c>
      <c r="L560" s="3">
        <v>55389</v>
      </c>
      <c r="M560" t="s">
        <v>34</v>
      </c>
      <c r="N560" t="s">
        <v>50</v>
      </c>
      <c r="O560">
        <v>3.08</v>
      </c>
      <c r="P560" t="s">
        <v>125</v>
      </c>
      <c r="Q560" t="s">
        <v>76</v>
      </c>
      <c r="R560">
        <v>2023</v>
      </c>
      <c r="S560" t="str">
        <f>IF(AND(HR_Employees[[#This Row],[Attrition]]="YES",HR_Employees[[#This Row],[Exit_Date]]&lt;&gt;""),YEAR(HR_Employees[[#This Row],[Exit_Date]]),"")</f>
        <v/>
      </c>
    </row>
    <row r="561" spans="1:19">
      <c r="A561" t="s">
        <v>945</v>
      </c>
      <c r="B561" t="s">
        <v>946</v>
      </c>
      <c r="C561">
        <v>38</v>
      </c>
      <c r="D561" t="s">
        <v>61</v>
      </c>
      <c r="E561" t="s">
        <v>21</v>
      </c>
      <c r="F561" t="s">
        <v>40</v>
      </c>
      <c r="G561" t="s">
        <v>23</v>
      </c>
      <c r="H561" s="2">
        <v>45273</v>
      </c>
      <c r="I561" s="2" t="str">
        <f>IFERROR(VLOOKUP(HR_Employees[[#This Row],[Employee_ID]],'[1]Synthetic Exit Data'!$A$2:$E$235,4,0)," NA")</f>
        <v xml:space="preserve"> NA</v>
      </c>
      <c r="J561" t="s">
        <v>24</v>
      </c>
      <c r="K561">
        <v>4</v>
      </c>
      <c r="L561" s="3">
        <v>53607</v>
      </c>
      <c r="M561" t="s">
        <v>34</v>
      </c>
      <c r="N561" t="s">
        <v>56</v>
      </c>
      <c r="O561">
        <v>2.83</v>
      </c>
      <c r="P561" t="s">
        <v>35</v>
      </c>
      <c r="Q561" t="s">
        <v>44</v>
      </c>
      <c r="R561">
        <v>2023</v>
      </c>
      <c r="S561" t="str">
        <f>IF(AND(HR_Employees[[#This Row],[Attrition]]="YES",HR_Employees[[#This Row],[Exit_Date]]&lt;&gt;""),YEAR(HR_Employees[[#This Row],[Exit_Date]]),"")</f>
        <v/>
      </c>
    </row>
    <row r="562" spans="1:19">
      <c r="A562" t="s">
        <v>947</v>
      </c>
      <c r="B562" t="s">
        <v>106</v>
      </c>
      <c r="C562">
        <v>23</v>
      </c>
      <c r="D562" t="s">
        <v>39</v>
      </c>
      <c r="E562" t="s">
        <v>21</v>
      </c>
      <c r="F562" t="s">
        <v>40</v>
      </c>
      <c r="G562" t="s">
        <v>41</v>
      </c>
      <c r="H562" s="2">
        <v>45548</v>
      </c>
      <c r="I562" s="2" t="str">
        <f>IFERROR(VLOOKUP(HR_Employees[[#This Row],[Employee_ID]],'[1]Synthetic Exit Data'!$A$2:$E$235,4,0)," NA")</f>
        <v xml:space="preserve"> NA</v>
      </c>
      <c r="J562" t="s">
        <v>24</v>
      </c>
      <c r="K562">
        <v>3</v>
      </c>
      <c r="L562" s="3">
        <v>22658</v>
      </c>
      <c r="M562" t="s">
        <v>82</v>
      </c>
      <c r="N562" t="s">
        <v>56</v>
      </c>
      <c r="O562">
        <v>2.08</v>
      </c>
      <c r="P562" t="s">
        <v>35</v>
      </c>
      <c r="Q562" t="s">
        <v>58</v>
      </c>
      <c r="R562">
        <v>2024</v>
      </c>
      <c r="S562" t="str">
        <f>IF(AND(HR_Employees[[#This Row],[Attrition]]="YES",HR_Employees[[#This Row],[Exit_Date]]&lt;&gt;""),YEAR(HR_Employees[[#This Row],[Exit_Date]]),"")</f>
        <v/>
      </c>
    </row>
    <row r="563" spans="1:19">
      <c r="A563" t="s">
        <v>948</v>
      </c>
      <c r="B563" t="s">
        <v>722</v>
      </c>
      <c r="C563">
        <v>28</v>
      </c>
      <c r="D563" t="s">
        <v>31</v>
      </c>
      <c r="E563" t="s">
        <v>21</v>
      </c>
      <c r="F563" t="s">
        <v>47</v>
      </c>
      <c r="G563" t="s">
        <v>23</v>
      </c>
      <c r="H563" s="2">
        <v>45843</v>
      </c>
      <c r="I563" s="2" t="str">
        <f>IFERROR(VLOOKUP(HR_Employees[[#This Row],[Employee_ID]],'[1]Synthetic Exit Data'!$A$2:$E$235,4,0)," NA")</f>
        <v>2025-10-16</v>
      </c>
      <c r="J563" t="s">
        <v>49</v>
      </c>
      <c r="K563">
        <v>4</v>
      </c>
      <c r="L563" s="3">
        <v>68196</v>
      </c>
      <c r="M563" t="s">
        <v>34</v>
      </c>
      <c r="N563" t="s">
        <v>56</v>
      </c>
      <c r="O563">
        <v>1.08</v>
      </c>
      <c r="P563" t="s">
        <v>27</v>
      </c>
      <c r="Q563" t="s">
        <v>36</v>
      </c>
      <c r="R563">
        <v>2025</v>
      </c>
      <c r="S563">
        <f>IF(AND(HR_Employees[[#This Row],[Attrition]]="YES",HR_Employees[[#This Row],[Exit_Date]]&lt;&gt;""),YEAR(HR_Employees[[#This Row],[Exit_Date]]),"")</f>
        <v>2025</v>
      </c>
    </row>
    <row r="564" spans="1:19">
      <c r="A564" t="s">
        <v>949</v>
      </c>
      <c r="B564" t="s">
        <v>950</v>
      </c>
      <c r="C564">
        <v>30</v>
      </c>
      <c r="D564" t="s">
        <v>31</v>
      </c>
      <c r="E564" t="s">
        <v>32</v>
      </c>
      <c r="F564" t="s">
        <v>47</v>
      </c>
      <c r="G564" t="s">
        <v>23</v>
      </c>
      <c r="H564" s="2">
        <v>44360</v>
      </c>
      <c r="I564" s="2" t="str">
        <f>IFERROR(VLOOKUP(HR_Employees[[#This Row],[Employee_ID]],'[1]Synthetic Exit Data'!$A$2:$E$235,4,0)," NA")</f>
        <v xml:space="preserve"> NA</v>
      </c>
      <c r="J564" t="s">
        <v>24</v>
      </c>
      <c r="K564">
        <v>3</v>
      </c>
      <c r="L564" s="3">
        <v>148602</v>
      </c>
      <c r="M564" t="s">
        <v>25</v>
      </c>
      <c r="N564" t="s">
        <v>79</v>
      </c>
      <c r="O564">
        <v>5.33</v>
      </c>
      <c r="P564" t="s">
        <v>35</v>
      </c>
      <c r="Q564" t="s">
        <v>62</v>
      </c>
      <c r="R564">
        <v>2021</v>
      </c>
      <c r="S564" t="str">
        <f>IF(AND(HR_Employees[[#This Row],[Attrition]]="YES",HR_Employees[[#This Row],[Exit_Date]]&lt;&gt;""),YEAR(HR_Employees[[#This Row],[Exit_Date]]),"")</f>
        <v/>
      </c>
    </row>
    <row r="565" spans="1:19">
      <c r="A565" t="s">
        <v>951</v>
      </c>
      <c r="B565" t="s">
        <v>749</v>
      </c>
      <c r="C565">
        <v>45</v>
      </c>
      <c r="D565" t="s">
        <v>61</v>
      </c>
      <c r="E565" t="s">
        <v>32</v>
      </c>
      <c r="F565" t="s">
        <v>40</v>
      </c>
      <c r="G565" t="s">
        <v>33</v>
      </c>
      <c r="H565" s="2">
        <v>40707</v>
      </c>
      <c r="I565" s="2" t="str">
        <f>IFERROR(VLOOKUP(HR_Employees[[#This Row],[Employee_ID]],'[1]Synthetic Exit Data'!$A$2:$E$235,4,0)," NA")</f>
        <v xml:space="preserve"> NA</v>
      </c>
      <c r="J565" t="s">
        <v>24</v>
      </c>
      <c r="K565">
        <v>4</v>
      </c>
      <c r="L565" s="3">
        <v>42202</v>
      </c>
      <c r="M565" t="s">
        <v>42</v>
      </c>
      <c r="N565" t="s">
        <v>26</v>
      </c>
      <c r="O565">
        <v>15.33</v>
      </c>
      <c r="P565" t="s">
        <v>27</v>
      </c>
      <c r="Q565" t="s">
        <v>44</v>
      </c>
      <c r="R565">
        <v>2011</v>
      </c>
      <c r="S565" t="str">
        <f>IF(AND(HR_Employees[[#This Row],[Attrition]]="YES",HR_Employees[[#This Row],[Exit_Date]]&lt;&gt;""),YEAR(HR_Employees[[#This Row],[Exit_Date]]),"")</f>
        <v/>
      </c>
    </row>
    <row r="566" spans="1:19">
      <c r="A566" t="s">
        <v>952</v>
      </c>
      <c r="B566" t="s">
        <v>720</v>
      </c>
      <c r="C566">
        <v>45</v>
      </c>
      <c r="D566" t="s">
        <v>61</v>
      </c>
      <c r="E566" t="s">
        <v>32</v>
      </c>
      <c r="F566" t="s">
        <v>22</v>
      </c>
      <c r="G566" t="s">
        <v>33</v>
      </c>
      <c r="H566" s="2">
        <v>45943</v>
      </c>
      <c r="I566" s="2" t="str">
        <f>IFERROR(VLOOKUP(HR_Employees[[#This Row],[Employee_ID]],'[1]Synthetic Exit Data'!$A$2:$E$235,4,0)," NA")</f>
        <v xml:space="preserve"> NA</v>
      </c>
      <c r="J566" t="s">
        <v>24</v>
      </c>
      <c r="K566">
        <v>4</v>
      </c>
      <c r="L566" s="3">
        <v>47108</v>
      </c>
      <c r="M566" t="s">
        <v>42</v>
      </c>
      <c r="N566" t="s">
        <v>43</v>
      </c>
      <c r="O566">
        <v>1</v>
      </c>
      <c r="P566" t="s">
        <v>27</v>
      </c>
      <c r="Q566" t="s">
        <v>62</v>
      </c>
      <c r="R566">
        <v>2025</v>
      </c>
      <c r="S566" t="str">
        <f>IF(AND(HR_Employees[[#This Row],[Attrition]]="YES",HR_Employees[[#This Row],[Exit_Date]]&lt;&gt;""),YEAR(HR_Employees[[#This Row],[Exit_Date]]),"")</f>
        <v/>
      </c>
    </row>
    <row r="567" spans="1:19">
      <c r="A567" t="s">
        <v>953</v>
      </c>
      <c r="B567" t="s">
        <v>408</v>
      </c>
      <c r="C567">
        <v>43</v>
      </c>
      <c r="D567" t="s">
        <v>61</v>
      </c>
      <c r="E567" t="s">
        <v>21</v>
      </c>
      <c r="F567" t="s">
        <v>40</v>
      </c>
      <c r="G567" t="s">
        <v>23</v>
      </c>
      <c r="H567" s="2">
        <v>45903</v>
      </c>
      <c r="I567" s="2" t="str">
        <f>IFERROR(VLOOKUP(HR_Employees[[#This Row],[Employee_ID]],'[1]Synthetic Exit Data'!$A$2:$E$235,4,0)," NA")</f>
        <v>2025-11-29</v>
      </c>
      <c r="J567" t="s">
        <v>49</v>
      </c>
      <c r="K567">
        <v>4</v>
      </c>
      <c r="L567" s="3">
        <v>24346</v>
      </c>
      <c r="M567" t="s">
        <v>82</v>
      </c>
      <c r="N567" t="s">
        <v>56</v>
      </c>
      <c r="O567">
        <v>1.08</v>
      </c>
      <c r="P567" t="s">
        <v>51</v>
      </c>
      <c r="Q567" t="s">
        <v>36</v>
      </c>
      <c r="R567">
        <v>2025</v>
      </c>
      <c r="S567">
        <f>IF(AND(HR_Employees[[#This Row],[Attrition]]="YES",HR_Employees[[#This Row],[Exit_Date]]&lt;&gt;""),YEAR(HR_Employees[[#This Row],[Exit_Date]]),"")</f>
        <v>2025</v>
      </c>
    </row>
    <row r="568" spans="1:19">
      <c r="A568" t="s">
        <v>954</v>
      </c>
      <c r="B568" t="s">
        <v>222</v>
      </c>
      <c r="C568">
        <v>36</v>
      </c>
      <c r="D568" t="s">
        <v>61</v>
      </c>
      <c r="E568" t="s">
        <v>32</v>
      </c>
      <c r="F568" t="s">
        <v>55</v>
      </c>
      <c r="G568" t="s">
        <v>23</v>
      </c>
      <c r="H568" s="2">
        <v>46186</v>
      </c>
      <c r="I568" s="2" t="str">
        <f>IFERROR(VLOOKUP(HR_Employees[[#This Row],[Employee_ID]],'[1]Synthetic Exit Data'!$A$2:$E$235,4,0)," NA")</f>
        <v xml:space="preserve"> NA</v>
      </c>
      <c r="J568" t="s">
        <v>24</v>
      </c>
      <c r="K568">
        <v>1</v>
      </c>
      <c r="L568" s="3">
        <v>134670</v>
      </c>
      <c r="M568" t="s">
        <v>25</v>
      </c>
      <c r="N568" t="s">
        <v>43</v>
      </c>
      <c r="O568">
        <v>0.33</v>
      </c>
      <c r="P568" t="s">
        <v>51</v>
      </c>
      <c r="Q568" t="s">
        <v>76</v>
      </c>
      <c r="R568">
        <v>2026</v>
      </c>
      <c r="S568" t="str">
        <f>IF(AND(HR_Employees[[#This Row],[Attrition]]="YES",HR_Employees[[#This Row],[Exit_Date]]&lt;&gt;""),YEAR(HR_Employees[[#This Row],[Exit_Date]]),"")</f>
        <v/>
      </c>
    </row>
    <row r="569" spans="1:19">
      <c r="A569" t="s">
        <v>955</v>
      </c>
      <c r="B569" t="s">
        <v>425</v>
      </c>
      <c r="C569">
        <v>24</v>
      </c>
      <c r="D569" t="s">
        <v>39</v>
      </c>
      <c r="E569" t="s">
        <v>32</v>
      </c>
      <c r="F569" t="s">
        <v>151</v>
      </c>
      <c r="G569" t="s">
        <v>23</v>
      </c>
      <c r="H569" s="2">
        <v>41711</v>
      </c>
      <c r="I569" s="2" t="str">
        <f>IFERROR(VLOOKUP(HR_Employees[[#This Row],[Employee_ID]],'[1]Synthetic Exit Data'!$A$2:$E$235,4,0)," NA")</f>
        <v xml:space="preserve"> NA</v>
      </c>
      <c r="J569" t="s">
        <v>24</v>
      </c>
      <c r="K569">
        <v>2</v>
      </c>
      <c r="L569" s="3">
        <v>114320</v>
      </c>
      <c r="M569" t="s">
        <v>25</v>
      </c>
      <c r="N569" t="s">
        <v>26</v>
      </c>
      <c r="O569">
        <v>12.58</v>
      </c>
      <c r="P569" t="s">
        <v>57</v>
      </c>
      <c r="Q569" t="s">
        <v>86</v>
      </c>
      <c r="R569">
        <v>2014</v>
      </c>
      <c r="S569" t="str">
        <f>IF(AND(HR_Employees[[#This Row],[Attrition]]="YES",HR_Employees[[#This Row],[Exit_Date]]&lt;&gt;""),YEAR(HR_Employees[[#This Row],[Exit_Date]]),"")</f>
        <v/>
      </c>
    </row>
    <row r="570" spans="1:19">
      <c r="A570" t="s">
        <v>956</v>
      </c>
      <c r="B570" t="s">
        <v>224</v>
      </c>
      <c r="C570">
        <v>23</v>
      </c>
      <c r="D570" t="s">
        <v>39</v>
      </c>
      <c r="E570" t="s">
        <v>32</v>
      </c>
      <c r="F570" t="s">
        <v>151</v>
      </c>
      <c r="G570" t="s">
        <v>114</v>
      </c>
      <c r="H570" s="2">
        <v>43203</v>
      </c>
      <c r="I570" s="2" t="str">
        <f>IFERROR(VLOOKUP(HR_Employees[[#This Row],[Employee_ID]],'[1]Synthetic Exit Data'!$A$2:$E$235,4,0)," NA")</f>
        <v xml:space="preserve"> NA</v>
      </c>
      <c r="J570" t="s">
        <v>24</v>
      </c>
      <c r="K570">
        <v>3</v>
      </c>
      <c r="L570" s="3">
        <v>100756</v>
      </c>
      <c r="M570" t="s">
        <v>25</v>
      </c>
      <c r="N570" t="s">
        <v>79</v>
      </c>
      <c r="O570">
        <v>8.5</v>
      </c>
      <c r="P570" t="s">
        <v>27</v>
      </c>
      <c r="Q570" t="s">
        <v>86</v>
      </c>
      <c r="R570">
        <v>2018</v>
      </c>
      <c r="S570" t="str">
        <f>IF(AND(HR_Employees[[#This Row],[Attrition]]="YES",HR_Employees[[#This Row],[Exit_Date]]&lt;&gt;""),YEAR(HR_Employees[[#This Row],[Exit_Date]]),"")</f>
        <v/>
      </c>
    </row>
    <row r="571" spans="1:19">
      <c r="A571" t="s">
        <v>957</v>
      </c>
      <c r="B571" t="s">
        <v>892</v>
      </c>
      <c r="C571">
        <v>34</v>
      </c>
      <c r="D571" t="s">
        <v>31</v>
      </c>
      <c r="E571" t="s">
        <v>21</v>
      </c>
      <c r="F571" t="s">
        <v>55</v>
      </c>
      <c r="G571" t="s">
        <v>48</v>
      </c>
      <c r="H571" s="2">
        <v>46155</v>
      </c>
      <c r="I571" s="2" t="str">
        <f>IFERROR(VLOOKUP(HR_Employees[[#This Row],[Employee_ID]],'[1]Synthetic Exit Data'!$A$2:$E$235,4,0)," NA")</f>
        <v xml:space="preserve"> NA</v>
      </c>
      <c r="J571" t="s">
        <v>24</v>
      </c>
      <c r="K571">
        <v>3</v>
      </c>
      <c r="L571" s="3">
        <v>50350</v>
      </c>
      <c r="M571" t="s">
        <v>34</v>
      </c>
      <c r="N571" t="s">
        <v>43</v>
      </c>
      <c r="O571">
        <v>0.42</v>
      </c>
      <c r="P571" t="s">
        <v>125</v>
      </c>
      <c r="Q571" t="s">
        <v>62</v>
      </c>
      <c r="R571">
        <v>2026</v>
      </c>
      <c r="S571" t="str">
        <f>IF(AND(HR_Employees[[#This Row],[Attrition]]="YES",HR_Employees[[#This Row],[Exit_Date]]&lt;&gt;""),YEAR(HR_Employees[[#This Row],[Exit_Date]]),"")</f>
        <v/>
      </c>
    </row>
    <row r="572" spans="1:19">
      <c r="A572" t="s">
        <v>958</v>
      </c>
      <c r="B572" t="s">
        <v>843</v>
      </c>
      <c r="C572">
        <v>41</v>
      </c>
      <c r="D572" t="s">
        <v>61</v>
      </c>
      <c r="E572" t="s">
        <v>32</v>
      </c>
      <c r="F572" t="s">
        <v>22</v>
      </c>
      <c r="G572" t="s">
        <v>48</v>
      </c>
      <c r="H572" s="2">
        <v>45974</v>
      </c>
      <c r="I572" s="2" t="str">
        <f>IFERROR(VLOOKUP(HR_Employees[[#This Row],[Employee_ID]],'[1]Synthetic Exit Data'!$A$2:$E$235,4,0)," NA")</f>
        <v xml:space="preserve"> NA</v>
      </c>
      <c r="J572" t="s">
        <v>24</v>
      </c>
      <c r="K572">
        <v>4</v>
      </c>
      <c r="L572" s="3">
        <v>27988</v>
      </c>
      <c r="M572" t="s">
        <v>82</v>
      </c>
      <c r="N572" t="s">
        <v>43</v>
      </c>
      <c r="O572">
        <v>0.92</v>
      </c>
      <c r="P572" t="s">
        <v>35</v>
      </c>
      <c r="Q572" t="s">
        <v>36</v>
      </c>
      <c r="R572">
        <v>2025</v>
      </c>
      <c r="S572" t="str">
        <f>IF(AND(HR_Employees[[#This Row],[Attrition]]="YES",HR_Employees[[#This Row],[Exit_Date]]&lt;&gt;""),YEAR(HR_Employees[[#This Row],[Exit_Date]]),"")</f>
        <v/>
      </c>
    </row>
    <row r="573" spans="1:19">
      <c r="A573" t="s">
        <v>959</v>
      </c>
      <c r="B573" t="s">
        <v>646</v>
      </c>
      <c r="C573">
        <v>23</v>
      </c>
      <c r="D573" t="s">
        <v>39</v>
      </c>
      <c r="E573" t="s">
        <v>21</v>
      </c>
      <c r="F573" t="s">
        <v>47</v>
      </c>
      <c r="G573" t="s">
        <v>48</v>
      </c>
      <c r="H573" s="2">
        <v>46247</v>
      </c>
      <c r="I573" s="2" t="str">
        <f>IFERROR(VLOOKUP(HR_Employees[[#This Row],[Employee_ID]],'[1]Synthetic Exit Data'!$A$2:$E$235,4,0)," NA")</f>
        <v xml:space="preserve"> NA</v>
      </c>
      <c r="J573" t="s">
        <v>24</v>
      </c>
      <c r="K573">
        <v>5</v>
      </c>
      <c r="L573" s="3">
        <v>66300</v>
      </c>
      <c r="M573" t="s">
        <v>34</v>
      </c>
      <c r="N573" t="s">
        <v>43</v>
      </c>
      <c r="O573">
        <v>0.17</v>
      </c>
      <c r="P573" t="s">
        <v>125</v>
      </c>
      <c r="Q573" t="s">
        <v>76</v>
      </c>
      <c r="R573">
        <v>2026</v>
      </c>
      <c r="S573" t="str">
        <f>IF(AND(HR_Employees[[#This Row],[Attrition]]="YES",HR_Employees[[#This Row],[Exit_Date]]&lt;&gt;""),YEAR(HR_Employees[[#This Row],[Exit_Date]]),"")</f>
        <v/>
      </c>
    </row>
    <row r="574" spans="1:19">
      <c r="A574" t="s">
        <v>960</v>
      </c>
      <c r="B574" t="s">
        <v>499</v>
      </c>
      <c r="C574">
        <v>32</v>
      </c>
      <c r="D574" t="s">
        <v>31</v>
      </c>
      <c r="E574" t="s">
        <v>21</v>
      </c>
      <c r="F574" t="s">
        <v>40</v>
      </c>
      <c r="G574" t="s">
        <v>48</v>
      </c>
      <c r="H574" s="2">
        <v>45364</v>
      </c>
      <c r="I574" s="2" t="str">
        <f>IFERROR(VLOOKUP(HR_Employees[[#This Row],[Employee_ID]],'[1]Synthetic Exit Data'!$A$2:$E$235,4,0)," NA")</f>
        <v xml:space="preserve"> NA</v>
      </c>
      <c r="J574" t="s">
        <v>24</v>
      </c>
      <c r="K574">
        <v>3</v>
      </c>
      <c r="L574" s="3">
        <v>29539</v>
      </c>
      <c r="M574" t="s">
        <v>82</v>
      </c>
      <c r="N574" t="s">
        <v>56</v>
      </c>
      <c r="O574">
        <v>2.58</v>
      </c>
      <c r="P574" t="s">
        <v>57</v>
      </c>
      <c r="Q574" t="s">
        <v>62</v>
      </c>
      <c r="R574">
        <v>2024</v>
      </c>
      <c r="S574" t="str">
        <f>IF(AND(HR_Employees[[#This Row],[Attrition]]="YES",HR_Employees[[#This Row],[Exit_Date]]&lt;&gt;""),YEAR(HR_Employees[[#This Row],[Exit_Date]]),"")</f>
        <v/>
      </c>
    </row>
    <row r="575" spans="1:19">
      <c r="A575" t="s">
        <v>961</v>
      </c>
      <c r="B575" t="s">
        <v>962</v>
      </c>
      <c r="C575">
        <v>36</v>
      </c>
      <c r="D575" t="s">
        <v>61</v>
      </c>
      <c r="E575" t="s">
        <v>21</v>
      </c>
      <c r="F575" t="s">
        <v>40</v>
      </c>
      <c r="G575" t="s">
        <v>48</v>
      </c>
      <c r="H575" s="2">
        <v>46150</v>
      </c>
      <c r="I575" s="2" t="str">
        <f>IFERROR(VLOOKUP(HR_Employees[[#This Row],[Employee_ID]],'[1]Synthetic Exit Data'!$A$2:$E$235,4,0)," NA")</f>
        <v>2026-09-23</v>
      </c>
      <c r="J575" t="s">
        <v>49</v>
      </c>
      <c r="K575">
        <v>5</v>
      </c>
      <c r="L575" s="3">
        <v>23762</v>
      </c>
      <c r="M575" t="s">
        <v>82</v>
      </c>
      <c r="N575" t="s">
        <v>43</v>
      </c>
      <c r="O575">
        <v>0.25</v>
      </c>
      <c r="P575" t="s">
        <v>51</v>
      </c>
      <c r="Q575" t="s">
        <v>58</v>
      </c>
      <c r="R575">
        <v>2026</v>
      </c>
      <c r="S575">
        <f>IF(AND(HR_Employees[[#This Row],[Attrition]]="YES",HR_Employees[[#This Row],[Exit_Date]]&lt;&gt;""),YEAR(HR_Employees[[#This Row],[Exit_Date]]),"")</f>
        <v>2026</v>
      </c>
    </row>
    <row r="576" spans="1:19">
      <c r="A576" t="s">
        <v>963</v>
      </c>
      <c r="B576" t="s">
        <v>722</v>
      </c>
      <c r="C576">
        <v>48</v>
      </c>
      <c r="D576" t="s">
        <v>20</v>
      </c>
      <c r="E576" t="s">
        <v>32</v>
      </c>
      <c r="F576" t="s">
        <v>65</v>
      </c>
      <c r="G576" t="s">
        <v>48</v>
      </c>
      <c r="H576" s="2">
        <v>44970</v>
      </c>
      <c r="I576" s="2" t="str">
        <f>IFERROR(VLOOKUP(HR_Employees[[#This Row],[Employee_ID]],'[1]Synthetic Exit Data'!$A$2:$E$235,4,0)," NA")</f>
        <v xml:space="preserve"> NA</v>
      </c>
      <c r="J576" t="s">
        <v>24</v>
      </c>
      <c r="K576">
        <v>4</v>
      </c>
      <c r="L576" s="3">
        <v>45804</v>
      </c>
      <c r="M576" t="s">
        <v>42</v>
      </c>
      <c r="N576" t="s">
        <v>50</v>
      </c>
      <c r="O576">
        <v>3.67</v>
      </c>
      <c r="P576" t="s">
        <v>27</v>
      </c>
      <c r="Q576" t="s">
        <v>58</v>
      </c>
      <c r="R576">
        <v>2023</v>
      </c>
      <c r="S576" t="str">
        <f>IF(AND(HR_Employees[[#This Row],[Attrition]]="YES",HR_Employees[[#This Row],[Exit_Date]]&lt;&gt;""),YEAR(HR_Employees[[#This Row],[Exit_Date]]),"")</f>
        <v/>
      </c>
    </row>
    <row r="577" spans="1:19">
      <c r="A577" t="s">
        <v>964</v>
      </c>
      <c r="B577" t="s">
        <v>377</v>
      </c>
      <c r="C577">
        <v>42</v>
      </c>
      <c r="D577" t="s">
        <v>61</v>
      </c>
      <c r="E577" t="s">
        <v>21</v>
      </c>
      <c r="F577" t="s">
        <v>109</v>
      </c>
      <c r="G577" t="s">
        <v>41</v>
      </c>
      <c r="H577" s="2">
        <v>45364</v>
      </c>
      <c r="I577" s="2" t="str">
        <f>IFERROR(VLOOKUP(HR_Employees[[#This Row],[Employee_ID]],'[1]Synthetic Exit Data'!$A$2:$E$235,4,0)," NA")</f>
        <v xml:space="preserve"> NA</v>
      </c>
      <c r="J577" t="s">
        <v>24</v>
      </c>
      <c r="K577">
        <v>2</v>
      </c>
      <c r="L577" s="3">
        <v>24593</v>
      </c>
      <c r="M577" t="s">
        <v>82</v>
      </c>
      <c r="N577" t="s">
        <v>56</v>
      </c>
      <c r="O577">
        <v>2.58</v>
      </c>
      <c r="P577" t="s">
        <v>57</v>
      </c>
      <c r="Q577" t="s">
        <v>92</v>
      </c>
      <c r="R577">
        <v>2024</v>
      </c>
      <c r="S577" t="str">
        <f>IF(AND(HR_Employees[[#This Row],[Attrition]]="YES",HR_Employees[[#This Row],[Exit_Date]]&lt;&gt;""),YEAR(HR_Employees[[#This Row],[Exit_Date]]),"")</f>
        <v/>
      </c>
    </row>
    <row r="578" spans="1:19">
      <c r="A578" t="s">
        <v>965</v>
      </c>
      <c r="B578" t="s">
        <v>634</v>
      </c>
      <c r="C578">
        <v>22</v>
      </c>
      <c r="D578" t="s">
        <v>39</v>
      </c>
      <c r="E578" t="s">
        <v>32</v>
      </c>
      <c r="F578" t="s">
        <v>40</v>
      </c>
      <c r="G578" t="s">
        <v>23</v>
      </c>
      <c r="H578" s="2">
        <v>45851</v>
      </c>
      <c r="I578" s="2" t="str">
        <f>IFERROR(VLOOKUP(HR_Employees[[#This Row],[Employee_ID]],'[1]Synthetic Exit Data'!$A$2:$E$235,4,0)," NA")</f>
        <v xml:space="preserve"> NA</v>
      </c>
      <c r="J578" t="s">
        <v>24</v>
      </c>
      <c r="K578">
        <v>2</v>
      </c>
      <c r="L578" s="3">
        <v>75556</v>
      </c>
      <c r="M578" t="s">
        <v>66</v>
      </c>
      <c r="N578" t="s">
        <v>56</v>
      </c>
      <c r="O578">
        <v>1.25</v>
      </c>
      <c r="P578" t="s">
        <v>51</v>
      </c>
      <c r="Q578" t="s">
        <v>44</v>
      </c>
      <c r="R578">
        <v>2025</v>
      </c>
      <c r="S578" t="str">
        <f>IF(AND(HR_Employees[[#This Row],[Attrition]]="YES",HR_Employees[[#This Row],[Exit_Date]]&lt;&gt;""),YEAR(HR_Employees[[#This Row],[Exit_Date]]),"")</f>
        <v/>
      </c>
    </row>
    <row r="579" spans="1:19">
      <c r="A579" t="s">
        <v>966</v>
      </c>
      <c r="B579" t="s">
        <v>967</v>
      </c>
      <c r="C579">
        <v>36</v>
      </c>
      <c r="D579" t="s">
        <v>61</v>
      </c>
      <c r="E579" t="s">
        <v>32</v>
      </c>
      <c r="F579" t="s">
        <v>55</v>
      </c>
      <c r="G579" t="s">
        <v>33</v>
      </c>
      <c r="H579" s="2">
        <v>46125</v>
      </c>
      <c r="I579" s="2" t="str">
        <f>IFERROR(VLOOKUP(HR_Employees[[#This Row],[Employee_ID]],'[1]Synthetic Exit Data'!$A$2:$E$235,4,0)," NA")</f>
        <v xml:space="preserve"> NA</v>
      </c>
      <c r="J579" t="s">
        <v>24</v>
      </c>
      <c r="K579">
        <v>3</v>
      </c>
      <c r="L579" s="3">
        <v>38221</v>
      </c>
      <c r="M579" t="s">
        <v>42</v>
      </c>
      <c r="N579" t="s">
        <v>43</v>
      </c>
      <c r="O579">
        <v>0.5</v>
      </c>
      <c r="P579" t="s">
        <v>35</v>
      </c>
      <c r="Q579" t="s">
        <v>36</v>
      </c>
      <c r="R579">
        <v>2026</v>
      </c>
      <c r="S579" t="str">
        <f>IF(AND(HR_Employees[[#This Row],[Attrition]]="YES",HR_Employees[[#This Row],[Exit_Date]]&lt;&gt;""),YEAR(HR_Employees[[#This Row],[Exit_Date]]),"")</f>
        <v/>
      </c>
    </row>
    <row r="580" spans="1:19">
      <c r="A580" t="s">
        <v>968</v>
      </c>
      <c r="B580" t="s">
        <v>558</v>
      </c>
      <c r="C580">
        <v>25</v>
      </c>
      <c r="D580" t="s">
        <v>39</v>
      </c>
      <c r="E580" t="s">
        <v>21</v>
      </c>
      <c r="F580" t="s">
        <v>109</v>
      </c>
      <c r="G580" t="s">
        <v>23</v>
      </c>
      <c r="H580" s="2">
        <v>45882</v>
      </c>
      <c r="I580" s="2" t="str">
        <f>IFERROR(VLOOKUP(HR_Employees[[#This Row],[Employee_ID]],'[1]Synthetic Exit Data'!$A$2:$E$235,4,0)," NA")</f>
        <v xml:space="preserve"> NA</v>
      </c>
      <c r="J580" t="s">
        <v>24</v>
      </c>
      <c r="K580">
        <v>2</v>
      </c>
      <c r="L580" s="3">
        <v>87807</v>
      </c>
      <c r="M580" t="s">
        <v>66</v>
      </c>
      <c r="N580" t="s">
        <v>56</v>
      </c>
      <c r="O580">
        <v>1.17</v>
      </c>
      <c r="P580" t="s">
        <v>27</v>
      </c>
      <c r="Q580" t="s">
        <v>58</v>
      </c>
      <c r="R580">
        <v>2025</v>
      </c>
      <c r="S580" t="str">
        <f>IF(AND(HR_Employees[[#This Row],[Attrition]]="YES",HR_Employees[[#This Row],[Exit_Date]]&lt;&gt;""),YEAR(HR_Employees[[#This Row],[Exit_Date]]),"")</f>
        <v/>
      </c>
    </row>
    <row r="581" spans="1:19">
      <c r="A581" t="s">
        <v>969</v>
      </c>
      <c r="B581" t="s">
        <v>650</v>
      </c>
      <c r="C581">
        <v>54</v>
      </c>
      <c r="D581" t="s">
        <v>20</v>
      </c>
      <c r="E581" t="s">
        <v>21</v>
      </c>
      <c r="F581" t="s">
        <v>55</v>
      </c>
      <c r="G581" t="s">
        <v>23</v>
      </c>
      <c r="H581" s="2">
        <v>45059</v>
      </c>
      <c r="I581" s="2" t="str">
        <f>IFERROR(VLOOKUP(HR_Employees[[#This Row],[Employee_ID]],'[1]Synthetic Exit Data'!$A$2:$E$235,4,0)," NA")</f>
        <v xml:space="preserve"> NA</v>
      </c>
      <c r="J581" t="s">
        <v>24</v>
      </c>
      <c r="K581">
        <v>3</v>
      </c>
      <c r="L581" s="3">
        <v>67073</v>
      </c>
      <c r="M581" t="s">
        <v>34</v>
      </c>
      <c r="N581" t="s">
        <v>50</v>
      </c>
      <c r="O581">
        <v>3.42</v>
      </c>
      <c r="P581" t="s">
        <v>35</v>
      </c>
      <c r="Q581" t="s">
        <v>86</v>
      </c>
      <c r="R581">
        <v>2023</v>
      </c>
      <c r="S581" t="str">
        <f>IF(AND(HR_Employees[[#This Row],[Attrition]]="YES",HR_Employees[[#This Row],[Exit_Date]]&lt;&gt;""),YEAR(HR_Employees[[#This Row],[Exit_Date]]),"")</f>
        <v/>
      </c>
    </row>
    <row r="582" spans="1:19">
      <c r="A582" t="s">
        <v>970</v>
      </c>
      <c r="B582" t="s">
        <v>161</v>
      </c>
      <c r="C582">
        <v>41</v>
      </c>
      <c r="D582" t="s">
        <v>61</v>
      </c>
      <c r="E582" t="s">
        <v>32</v>
      </c>
      <c r="F582" t="s">
        <v>22</v>
      </c>
      <c r="G582" t="s">
        <v>48</v>
      </c>
      <c r="H582" s="2">
        <v>46125</v>
      </c>
      <c r="I582" s="2" t="str">
        <f>IFERROR(VLOOKUP(HR_Employees[[#This Row],[Employee_ID]],'[1]Synthetic Exit Data'!$A$2:$E$235,4,0)," NA")</f>
        <v xml:space="preserve"> NA</v>
      </c>
      <c r="J582" t="s">
        <v>24</v>
      </c>
      <c r="K582">
        <v>4</v>
      </c>
      <c r="L582" s="3">
        <v>25633</v>
      </c>
      <c r="M582" t="s">
        <v>82</v>
      </c>
      <c r="N582" t="s">
        <v>43</v>
      </c>
      <c r="O582">
        <v>0.5</v>
      </c>
      <c r="P582" t="s">
        <v>125</v>
      </c>
      <c r="Q582" t="s">
        <v>44</v>
      </c>
      <c r="R582">
        <v>2026</v>
      </c>
      <c r="S582" t="str">
        <f>IF(AND(HR_Employees[[#This Row],[Attrition]]="YES",HR_Employees[[#This Row],[Exit_Date]]&lt;&gt;""),YEAR(HR_Employees[[#This Row],[Exit_Date]]),"")</f>
        <v/>
      </c>
    </row>
    <row r="583" spans="1:19">
      <c r="A583" t="s">
        <v>971</v>
      </c>
      <c r="B583" t="s">
        <v>972</v>
      </c>
      <c r="C583">
        <v>24</v>
      </c>
      <c r="D583" t="s">
        <v>39</v>
      </c>
      <c r="E583" t="s">
        <v>21</v>
      </c>
      <c r="F583" t="s">
        <v>55</v>
      </c>
      <c r="G583" t="s">
        <v>23</v>
      </c>
      <c r="H583" s="2">
        <v>45943</v>
      </c>
      <c r="I583" s="2" t="str">
        <f>IFERROR(VLOOKUP(HR_Employees[[#This Row],[Employee_ID]],'[1]Synthetic Exit Data'!$A$2:$E$235,4,0)," NA")</f>
        <v xml:space="preserve"> NA</v>
      </c>
      <c r="J583" t="s">
        <v>24</v>
      </c>
      <c r="K583">
        <v>3</v>
      </c>
      <c r="L583" s="3">
        <v>45746</v>
      </c>
      <c r="M583" t="s">
        <v>42</v>
      </c>
      <c r="N583" t="s">
        <v>43</v>
      </c>
      <c r="O583">
        <v>1</v>
      </c>
      <c r="P583" t="s">
        <v>27</v>
      </c>
      <c r="Q583" t="s">
        <v>86</v>
      </c>
      <c r="R583">
        <v>2025</v>
      </c>
      <c r="S583" t="str">
        <f>IF(AND(HR_Employees[[#This Row],[Attrition]]="YES",HR_Employees[[#This Row],[Exit_Date]]&lt;&gt;""),YEAR(HR_Employees[[#This Row],[Exit_Date]]),"")</f>
        <v/>
      </c>
    </row>
    <row r="584" spans="1:19">
      <c r="A584" t="s">
        <v>973</v>
      </c>
      <c r="B584" t="s">
        <v>974</v>
      </c>
      <c r="C584">
        <v>44</v>
      </c>
      <c r="D584" t="s">
        <v>61</v>
      </c>
      <c r="E584" t="s">
        <v>21</v>
      </c>
      <c r="F584" t="s">
        <v>22</v>
      </c>
      <c r="G584" t="s">
        <v>33</v>
      </c>
      <c r="H584" s="2">
        <v>44482</v>
      </c>
      <c r="I584" s="2" t="str">
        <f>IFERROR(VLOOKUP(HR_Employees[[#This Row],[Employee_ID]],'[1]Synthetic Exit Data'!$A$2:$E$235,4,0)," NA")</f>
        <v xml:space="preserve"> NA</v>
      </c>
      <c r="J584" t="s">
        <v>24</v>
      </c>
      <c r="K584">
        <v>3</v>
      </c>
      <c r="L584" s="3">
        <v>27818</v>
      </c>
      <c r="M584" t="s">
        <v>82</v>
      </c>
      <c r="N584" t="s">
        <v>50</v>
      </c>
      <c r="O584">
        <v>5</v>
      </c>
      <c r="P584" t="s">
        <v>27</v>
      </c>
      <c r="Q584" t="s">
        <v>86</v>
      </c>
      <c r="R584">
        <v>2021</v>
      </c>
      <c r="S584" t="str">
        <f>IF(AND(HR_Employees[[#This Row],[Attrition]]="YES",HR_Employees[[#This Row],[Exit_Date]]&lt;&gt;""),YEAR(HR_Employees[[#This Row],[Exit_Date]]),"")</f>
        <v/>
      </c>
    </row>
    <row r="585" spans="1:19">
      <c r="A585" t="s">
        <v>975</v>
      </c>
      <c r="B585" t="s">
        <v>370</v>
      </c>
      <c r="C585">
        <v>21</v>
      </c>
      <c r="D585" t="s">
        <v>39</v>
      </c>
      <c r="E585" t="s">
        <v>32</v>
      </c>
      <c r="F585" t="s">
        <v>73</v>
      </c>
      <c r="G585" t="s">
        <v>114</v>
      </c>
      <c r="H585" s="2">
        <v>44148</v>
      </c>
      <c r="I585" s="2" t="str">
        <f>IFERROR(VLOOKUP(HR_Employees[[#This Row],[Employee_ID]],'[1]Synthetic Exit Data'!$A$2:$E$235,4,0)," NA")</f>
        <v xml:space="preserve"> NA</v>
      </c>
      <c r="J585" t="s">
        <v>24</v>
      </c>
      <c r="K585">
        <v>3</v>
      </c>
      <c r="L585" s="3">
        <v>37728</v>
      </c>
      <c r="M585" t="s">
        <v>42</v>
      </c>
      <c r="N585" t="s">
        <v>79</v>
      </c>
      <c r="O585">
        <v>5.92</v>
      </c>
      <c r="P585" t="s">
        <v>27</v>
      </c>
      <c r="Q585" t="s">
        <v>58</v>
      </c>
      <c r="R585">
        <v>2020</v>
      </c>
      <c r="S585" t="str">
        <f>IF(AND(HR_Employees[[#This Row],[Attrition]]="YES",HR_Employees[[#This Row],[Exit_Date]]&lt;&gt;""),YEAR(HR_Employees[[#This Row],[Exit_Date]]),"")</f>
        <v/>
      </c>
    </row>
    <row r="586" spans="1:19">
      <c r="A586" t="s">
        <v>976</v>
      </c>
      <c r="B586" t="s">
        <v>530</v>
      </c>
      <c r="C586">
        <v>44</v>
      </c>
      <c r="D586" t="s">
        <v>61</v>
      </c>
      <c r="E586" t="s">
        <v>32</v>
      </c>
      <c r="F586" t="s">
        <v>47</v>
      </c>
      <c r="G586" t="s">
        <v>23</v>
      </c>
      <c r="H586" s="2">
        <v>44939</v>
      </c>
      <c r="I586" s="2" t="str">
        <f>IFERROR(VLOOKUP(HR_Employees[[#This Row],[Employee_ID]],'[1]Synthetic Exit Data'!$A$2:$E$235,4,0)," NA")</f>
        <v xml:space="preserve"> NA</v>
      </c>
      <c r="J586" t="s">
        <v>24</v>
      </c>
      <c r="K586">
        <v>4</v>
      </c>
      <c r="L586" s="3">
        <v>95207</v>
      </c>
      <c r="M586" t="s">
        <v>66</v>
      </c>
      <c r="N586" t="s">
        <v>50</v>
      </c>
      <c r="O586">
        <v>3.75</v>
      </c>
      <c r="P586" t="s">
        <v>51</v>
      </c>
      <c r="Q586" t="s">
        <v>28</v>
      </c>
      <c r="R586">
        <v>2023</v>
      </c>
      <c r="S586" t="str">
        <f>IF(AND(HR_Employees[[#This Row],[Attrition]]="YES",HR_Employees[[#This Row],[Exit_Date]]&lt;&gt;""),YEAR(HR_Employees[[#This Row],[Exit_Date]]),"")</f>
        <v/>
      </c>
    </row>
    <row r="587" spans="1:19">
      <c r="A587" t="s">
        <v>977</v>
      </c>
      <c r="B587" t="s">
        <v>446</v>
      </c>
      <c r="C587">
        <v>45</v>
      </c>
      <c r="D587" t="s">
        <v>61</v>
      </c>
      <c r="E587" t="s">
        <v>32</v>
      </c>
      <c r="F587" t="s">
        <v>55</v>
      </c>
      <c r="G587" t="s">
        <v>23</v>
      </c>
      <c r="H587" s="2">
        <v>43052</v>
      </c>
      <c r="I587" s="2" t="str">
        <f>IFERROR(VLOOKUP(HR_Employees[[#This Row],[Employee_ID]],'[1]Synthetic Exit Data'!$A$2:$E$235,4,0)," NA")</f>
        <v xml:space="preserve"> NA</v>
      </c>
      <c r="J587" t="s">
        <v>24</v>
      </c>
      <c r="K587">
        <v>5</v>
      </c>
      <c r="L587" s="3">
        <v>20123</v>
      </c>
      <c r="M587" t="s">
        <v>82</v>
      </c>
      <c r="N587" t="s">
        <v>79</v>
      </c>
      <c r="O587">
        <v>8.92</v>
      </c>
      <c r="P587" t="s">
        <v>27</v>
      </c>
      <c r="Q587" t="s">
        <v>76</v>
      </c>
      <c r="R587">
        <v>2017</v>
      </c>
      <c r="S587" t="str">
        <f>IF(AND(HR_Employees[[#This Row],[Attrition]]="YES",HR_Employees[[#This Row],[Exit_Date]]&lt;&gt;""),YEAR(HR_Employees[[#This Row],[Exit_Date]]),"")</f>
        <v/>
      </c>
    </row>
    <row r="588" spans="1:19">
      <c r="A588" t="s">
        <v>978</v>
      </c>
      <c r="B588" t="s">
        <v>38</v>
      </c>
      <c r="C588">
        <v>41</v>
      </c>
      <c r="D588" t="s">
        <v>61</v>
      </c>
      <c r="E588" t="s">
        <v>21</v>
      </c>
      <c r="F588" t="s">
        <v>40</v>
      </c>
      <c r="G588" t="s">
        <v>23</v>
      </c>
      <c r="H588" s="2">
        <v>42232</v>
      </c>
      <c r="I588" s="2" t="str">
        <f>IFERROR(VLOOKUP(HR_Employees[[#This Row],[Employee_ID]],'[1]Synthetic Exit Data'!$A$2:$E$235,4,0)," NA")</f>
        <v>2020-09-25</v>
      </c>
      <c r="J588" t="s">
        <v>49</v>
      </c>
      <c r="K588">
        <v>3</v>
      </c>
      <c r="L588" s="3">
        <v>35275</v>
      </c>
      <c r="M588" t="s">
        <v>42</v>
      </c>
      <c r="N588" t="s">
        <v>26</v>
      </c>
      <c r="O588">
        <v>11</v>
      </c>
      <c r="P588" t="s">
        <v>125</v>
      </c>
      <c r="Q588" t="s">
        <v>86</v>
      </c>
      <c r="R588">
        <v>2015</v>
      </c>
      <c r="S588">
        <f>IF(AND(HR_Employees[[#This Row],[Attrition]]="YES",HR_Employees[[#This Row],[Exit_Date]]&lt;&gt;""),YEAR(HR_Employees[[#This Row],[Exit_Date]]),"")</f>
        <v>2020</v>
      </c>
    </row>
    <row r="589" spans="1:19">
      <c r="A589" t="s">
        <v>979</v>
      </c>
      <c r="B589" t="s">
        <v>304</v>
      </c>
      <c r="C589">
        <v>32</v>
      </c>
      <c r="D589" t="s">
        <v>31</v>
      </c>
      <c r="E589" t="s">
        <v>32</v>
      </c>
      <c r="F589" t="s">
        <v>151</v>
      </c>
      <c r="G589" t="s">
        <v>41</v>
      </c>
      <c r="H589" s="2">
        <v>45182</v>
      </c>
      <c r="I589" s="2" t="str">
        <f>IFERROR(VLOOKUP(HR_Employees[[#This Row],[Employee_ID]],'[1]Synthetic Exit Data'!$A$2:$E$235,4,0)," NA")</f>
        <v xml:space="preserve"> NA</v>
      </c>
      <c r="J589" t="s">
        <v>24</v>
      </c>
      <c r="K589">
        <v>3</v>
      </c>
      <c r="L589" s="3">
        <v>99714</v>
      </c>
      <c r="M589" t="s">
        <v>66</v>
      </c>
      <c r="N589" t="s">
        <v>50</v>
      </c>
      <c r="O589">
        <v>3.08</v>
      </c>
      <c r="P589" t="s">
        <v>51</v>
      </c>
      <c r="Q589" t="s">
        <v>92</v>
      </c>
      <c r="R589">
        <v>2023</v>
      </c>
      <c r="S589" t="str">
        <f>IF(AND(HR_Employees[[#This Row],[Attrition]]="YES",HR_Employees[[#This Row],[Exit_Date]]&lt;&gt;""),YEAR(HR_Employees[[#This Row],[Exit_Date]]),"")</f>
        <v/>
      </c>
    </row>
    <row r="590" spans="1:19">
      <c r="A590" t="s">
        <v>980</v>
      </c>
      <c r="B590" t="s">
        <v>499</v>
      </c>
      <c r="C590">
        <v>42</v>
      </c>
      <c r="D590" t="s">
        <v>61</v>
      </c>
      <c r="E590" t="s">
        <v>32</v>
      </c>
      <c r="F590" t="s">
        <v>22</v>
      </c>
      <c r="G590" t="s">
        <v>48</v>
      </c>
      <c r="H590" s="2">
        <v>45821</v>
      </c>
      <c r="I590" s="2" t="str">
        <f>IFERROR(VLOOKUP(HR_Employees[[#This Row],[Employee_ID]],'[1]Synthetic Exit Data'!$A$2:$E$235,4,0)," NA")</f>
        <v xml:space="preserve"> NA</v>
      </c>
      <c r="J590" t="s">
        <v>24</v>
      </c>
      <c r="K590">
        <v>4</v>
      </c>
      <c r="L590" s="3">
        <v>40160</v>
      </c>
      <c r="M590" t="s">
        <v>42</v>
      </c>
      <c r="N590" t="s">
        <v>56</v>
      </c>
      <c r="O590">
        <v>1.33</v>
      </c>
      <c r="P590" t="s">
        <v>57</v>
      </c>
      <c r="Q590" t="s">
        <v>86</v>
      </c>
      <c r="R590">
        <v>2025</v>
      </c>
      <c r="S590" t="str">
        <f>IF(AND(HR_Employees[[#This Row],[Attrition]]="YES",HR_Employees[[#This Row],[Exit_Date]]&lt;&gt;""),YEAR(HR_Employees[[#This Row],[Exit_Date]]),"")</f>
        <v/>
      </c>
    </row>
    <row r="591" spans="1:19">
      <c r="A591" t="s">
        <v>981</v>
      </c>
      <c r="B591" t="s">
        <v>226</v>
      </c>
      <c r="C591">
        <v>29</v>
      </c>
      <c r="D591" t="s">
        <v>31</v>
      </c>
      <c r="E591" t="s">
        <v>21</v>
      </c>
      <c r="F591" t="s">
        <v>22</v>
      </c>
      <c r="G591" t="s">
        <v>23</v>
      </c>
      <c r="H591" s="2">
        <v>42958</v>
      </c>
      <c r="I591" s="2" t="str">
        <f>IFERROR(VLOOKUP(HR_Employees[[#This Row],[Employee_ID]],'[1]Synthetic Exit Data'!$A$2:$E$235,4,0)," NA")</f>
        <v>2019-02-14</v>
      </c>
      <c r="J591" t="s">
        <v>49</v>
      </c>
      <c r="K591">
        <v>3</v>
      </c>
      <c r="L591" s="3">
        <v>21392</v>
      </c>
      <c r="M591" t="s">
        <v>82</v>
      </c>
      <c r="N591" t="s">
        <v>79</v>
      </c>
      <c r="O591">
        <v>9</v>
      </c>
      <c r="P591" t="s">
        <v>57</v>
      </c>
      <c r="Q591" t="s">
        <v>36</v>
      </c>
      <c r="R591">
        <v>2017</v>
      </c>
      <c r="S591">
        <f>IF(AND(HR_Employees[[#This Row],[Attrition]]="YES",HR_Employees[[#This Row],[Exit_Date]]&lt;&gt;""),YEAR(HR_Employees[[#This Row],[Exit_Date]]),"")</f>
        <v>2019</v>
      </c>
    </row>
    <row r="592" spans="1:19">
      <c r="A592" t="s">
        <v>982</v>
      </c>
      <c r="B592" t="s">
        <v>848</v>
      </c>
      <c r="C592">
        <v>50</v>
      </c>
      <c r="D592" t="s">
        <v>20</v>
      </c>
      <c r="E592" t="s">
        <v>21</v>
      </c>
      <c r="F592" t="s">
        <v>47</v>
      </c>
      <c r="G592" t="s">
        <v>23</v>
      </c>
      <c r="H592" s="2">
        <v>46155</v>
      </c>
      <c r="I592" s="2" t="str">
        <f>IFERROR(VLOOKUP(HR_Employees[[#This Row],[Employee_ID]],'[1]Synthetic Exit Data'!$A$2:$E$235,4,0)," NA")</f>
        <v xml:space="preserve"> NA</v>
      </c>
      <c r="J592" t="s">
        <v>24</v>
      </c>
      <c r="K592">
        <v>1</v>
      </c>
      <c r="L592" s="3">
        <v>42790</v>
      </c>
      <c r="M592" t="s">
        <v>42</v>
      </c>
      <c r="N592" t="s">
        <v>43</v>
      </c>
      <c r="O592">
        <v>0.42</v>
      </c>
      <c r="P592" t="s">
        <v>35</v>
      </c>
      <c r="Q592" t="s">
        <v>44</v>
      </c>
      <c r="R592">
        <v>2026</v>
      </c>
      <c r="S592" t="str">
        <f>IF(AND(HR_Employees[[#This Row],[Attrition]]="YES",HR_Employees[[#This Row],[Exit_Date]]&lt;&gt;""),YEAR(HR_Employees[[#This Row],[Exit_Date]]),"")</f>
        <v/>
      </c>
    </row>
    <row r="593" spans="1:19">
      <c r="A593" t="s">
        <v>983</v>
      </c>
      <c r="B593" t="s">
        <v>38</v>
      </c>
      <c r="C593">
        <v>46</v>
      </c>
      <c r="D593" t="s">
        <v>20</v>
      </c>
      <c r="E593" t="s">
        <v>21</v>
      </c>
      <c r="F593" t="s">
        <v>65</v>
      </c>
      <c r="G593" t="s">
        <v>33</v>
      </c>
      <c r="H593" s="2">
        <v>44268</v>
      </c>
      <c r="I593" s="2" t="str">
        <f>IFERROR(VLOOKUP(HR_Employees[[#This Row],[Employee_ID]],'[1]Synthetic Exit Data'!$A$2:$E$235,4,0)," NA")</f>
        <v xml:space="preserve"> NA</v>
      </c>
      <c r="J593" t="s">
        <v>24</v>
      </c>
      <c r="K593">
        <v>3</v>
      </c>
      <c r="L593" s="3">
        <v>54869</v>
      </c>
      <c r="M593" t="s">
        <v>34</v>
      </c>
      <c r="N593" t="s">
        <v>79</v>
      </c>
      <c r="O593">
        <v>5.58</v>
      </c>
      <c r="P593" t="s">
        <v>27</v>
      </c>
      <c r="Q593" t="s">
        <v>44</v>
      </c>
      <c r="R593">
        <v>2021</v>
      </c>
      <c r="S593" t="str">
        <f>IF(AND(HR_Employees[[#This Row],[Attrition]]="YES",HR_Employees[[#This Row],[Exit_Date]]&lt;&gt;""),YEAR(HR_Employees[[#This Row],[Exit_Date]]),"")</f>
        <v/>
      </c>
    </row>
    <row r="594" spans="1:19">
      <c r="A594" t="s">
        <v>984</v>
      </c>
      <c r="B594" t="s">
        <v>724</v>
      </c>
      <c r="C594">
        <v>24</v>
      </c>
      <c r="D594" t="s">
        <v>39</v>
      </c>
      <c r="E594" t="s">
        <v>32</v>
      </c>
      <c r="F594" t="s">
        <v>55</v>
      </c>
      <c r="G594" t="s">
        <v>48</v>
      </c>
      <c r="H594" s="2">
        <v>46216</v>
      </c>
      <c r="I594" s="2" t="str">
        <f>IFERROR(VLOOKUP(HR_Employees[[#This Row],[Employee_ID]],'[1]Synthetic Exit Data'!$A$2:$E$235,4,0)," NA")</f>
        <v xml:space="preserve"> NA</v>
      </c>
      <c r="J594" t="s">
        <v>24</v>
      </c>
      <c r="K594">
        <v>5</v>
      </c>
      <c r="L594" s="3">
        <v>50327</v>
      </c>
      <c r="M594" t="s">
        <v>34</v>
      </c>
      <c r="N594" t="s">
        <v>43</v>
      </c>
      <c r="O594">
        <v>0.25</v>
      </c>
      <c r="P594" t="s">
        <v>27</v>
      </c>
      <c r="Q594" t="s">
        <v>36</v>
      </c>
      <c r="R594">
        <v>2026</v>
      </c>
      <c r="S594" t="str">
        <f>IF(AND(HR_Employees[[#This Row],[Attrition]]="YES",HR_Employees[[#This Row],[Exit_Date]]&lt;&gt;""),YEAR(HR_Employees[[#This Row],[Exit_Date]]),"")</f>
        <v/>
      </c>
    </row>
    <row r="595" spans="1:19">
      <c r="A595" t="s">
        <v>985</v>
      </c>
      <c r="B595" t="s">
        <v>442</v>
      </c>
      <c r="C595">
        <v>60</v>
      </c>
      <c r="D595" t="s">
        <v>54</v>
      </c>
      <c r="E595" t="s">
        <v>32</v>
      </c>
      <c r="F595" t="s">
        <v>55</v>
      </c>
      <c r="G595" t="s">
        <v>23</v>
      </c>
      <c r="H595" s="2">
        <v>46247</v>
      </c>
      <c r="I595" s="2" t="str">
        <f>IFERROR(VLOOKUP(HR_Employees[[#This Row],[Employee_ID]],'[1]Synthetic Exit Data'!$A$2:$E$235,4,0)," NA")</f>
        <v xml:space="preserve"> NA</v>
      </c>
      <c r="J595" t="s">
        <v>24</v>
      </c>
      <c r="K595">
        <v>1</v>
      </c>
      <c r="L595" s="3">
        <v>77448</v>
      </c>
      <c r="M595" t="s">
        <v>66</v>
      </c>
      <c r="N595" t="s">
        <v>43</v>
      </c>
      <c r="O595">
        <v>0.17</v>
      </c>
      <c r="P595" t="s">
        <v>27</v>
      </c>
      <c r="Q595" t="s">
        <v>36</v>
      </c>
      <c r="R595">
        <v>2026</v>
      </c>
      <c r="S595" t="str">
        <f>IF(AND(HR_Employees[[#This Row],[Attrition]]="YES",HR_Employees[[#This Row],[Exit_Date]]&lt;&gt;""),YEAR(HR_Employees[[#This Row],[Exit_Date]]),"")</f>
        <v/>
      </c>
    </row>
    <row r="596" spans="1:19">
      <c r="A596" t="s">
        <v>986</v>
      </c>
      <c r="B596" t="s">
        <v>987</v>
      </c>
      <c r="C596">
        <v>25</v>
      </c>
      <c r="D596" t="s">
        <v>39</v>
      </c>
      <c r="E596" t="s">
        <v>21</v>
      </c>
      <c r="F596" t="s">
        <v>151</v>
      </c>
      <c r="G596" t="s">
        <v>33</v>
      </c>
      <c r="H596" s="2">
        <v>44178</v>
      </c>
      <c r="I596" s="2" t="str">
        <f>IFERROR(VLOOKUP(HR_Employees[[#This Row],[Employee_ID]],'[1]Synthetic Exit Data'!$A$2:$E$235,4,0)," NA")</f>
        <v xml:space="preserve"> NA</v>
      </c>
      <c r="J596" t="s">
        <v>24</v>
      </c>
      <c r="K596">
        <v>4</v>
      </c>
      <c r="L596" s="3">
        <v>30613</v>
      </c>
      <c r="M596" t="s">
        <v>42</v>
      </c>
      <c r="N596" t="s">
        <v>79</v>
      </c>
      <c r="O596">
        <v>5.83</v>
      </c>
      <c r="P596" t="s">
        <v>51</v>
      </c>
      <c r="Q596" t="s">
        <v>58</v>
      </c>
      <c r="R596">
        <v>2020</v>
      </c>
      <c r="S596" t="str">
        <f>IF(AND(HR_Employees[[#This Row],[Attrition]]="YES",HR_Employees[[#This Row],[Exit_Date]]&lt;&gt;""),YEAR(HR_Employees[[#This Row],[Exit_Date]]),"")</f>
        <v/>
      </c>
    </row>
    <row r="597" spans="1:19">
      <c r="A597" t="s">
        <v>988</v>
      </c>
      <c r="B597" t="s">
        <v>427</v>
      </c>
      <c r="C597">
        <v>28</v>
      </c>
      <c r="D597" t="s">
        <v>31</v>
      </c>
      <c r="E597" t="s">
        <v>21</v>
      </c>
      <c r="F597" t="s">
        <v>65</v>
      </c>
      <c r="G597" t="s">
        <v>23</v>
      </c>
      <c r="H597" s="2">
        <v>44513</v>
      </c>
      <c r="I597" s="2" t="str">
        <f>IFERROR(VLOOKUP(HR_Employees[[#This Row],[Employee_ID]],'[1]Synthetic Exit Data'!$A$2:$E$235,4,0)," NA")</f>
        <v xml:space="preserve"> NA</v>
      </c>
      <c r="J597" t="s">
        <v>24</v>
      </c>
      <c r="K597">
        <v>4</v>
      </c>
      <c r="L597" s="3">
        <v>21237</v>
      </c>
      <c r="M597" t="s">
        <v>82</v>
      </c>
      <c r="N597" t="s">
        <v>50</v>
      </c>
      <c r="O597">
        <v>4.92</v>
      </c>
      <c r="P597" t="s">
        <v>27</v>
      </c>
      <c r="Q597" t="s">
        <v>62</v>
      </c>
      <c r="R597">
        <v>2021</v>
      </c>
      <c r="S597" t="str">
        <f>IF(AND(HR_Employees[[#This Row],[Attrition]]="YES",HR_Employees[[#This Row],[Exit_Date]]&lt;&gt;""),YEAR(HR_Employees[[#This Row],[Exit_Date]]),"")</f>
        <v/>
      </c>
    </row>
    <row r="598" spans="1:19">
      <c r="A598" t="s">
        <v>989</v>
      </c>
      <c r="B598" t="s">
        <v>545</v>
      </c>
      <c r="C598">
        <v>29</v>
      </c>
      <c r="D598" t="s">
        <v>31</v>
      </c>
      <c r="E598" t="s">
        <v>32</v>
      </c>
      <c r="F598" t="s">
        <v>40</v>
      </c>
      <c r="G598" t="s">
        <v>23</v>
      </c>
      <c r="H598" s="2">
        <v>45974</v>
      </c>
      <c r="I598" s="2" t="str">
        <f>IFERROR(VLOOKUP(HR_Employees[[#This Row],[Employee_ID]],'[1]Synthetic Exit Data'!$A$2:$E$235,4,0)," NA")</f>
        <v xml:space="preserve"> NA</v>
      </c>
      <c r="J598" t="s">
        <v>24</v>
      </c>
      <c r="K598">
        <v>4</v>
      </c>
      <c r="L598" s="3">
        <v>95527</v>
      </c>
      <c r="M598" t="s">
        <v>66</v>
      </c>
      <c r="N598" t="s">
        <v>43</v>
      </c>
      <c r="O598">
        <v>0.92</v>
      </c>
      <c r="P598" t="s">
        <v>51</v>
      </c>
      <c r="Q598" t="s">
        <v>28</v>
      </c>
      <c r="R598">
        <v>2025</v>
      </c>
      <c r="S598" t="str">
        <f>IF(AND(HR_Employees[[#This Row],[Attrition]]="YES",HR_Employees[[#This Row],[Exit_Date]]&lt;&gt;""),YEAR(HR_Employees[[#This Row],[Exit_Date]]),"")</f>
        <v/>
      </c>
    </row>
    <row r="599" spans="1:19">
      <c r="A599" t="s">
        <v>990</v>
      </c>
      <c r="B599" t="s">
        <v>630</v>
      </c>
      <c r="C599">
        <v>42</v>
      </c>
      <c r="D599" t="s">
        <v>61</v>
      </c>
      <c r="E599" t="s">
        <v>21</v>
      </c>
      <c r="F599" t="s">
        <v>55</v>
      </c>
      <c r="G599" t="s">
        <v>23</v>
      </c>
      <c r="H599" s="2">
        <v>45484</v>
      </c>
      <c r="I599" s="2" t="str">
        <f>IFERROR(VLOOKUP(HR_Employees[[#This Row],[Employee_ID]],'[1]Synthetic Exit Data'!$A$2:$E$235,4,0)," NA")</f>
        <v>2024-08-13</v>
      </c>
      <c r="J599" t="s">
        <v>49</v>
      </c>
      <c r="K599">
        <v>3</v>
      </c>
      <c r="L599" s="3">
        <v>79101</v>
      </c>
      <c r="M599" t="s">
        <v>66</v>
      </c>
      <c r="N599" t="s">
        <v>56</v>
      </c>
      <c r="O599">
        <v>2.17</v>
      </c>
      <c r="P599" t="s">
        <v>35</v>
      </c>
      <c r="Q599" t="s">
        <v>28</v>
      </c>
      <c r="R599">
        <v>2024</v>
      </c>
      <c r="S599">
        <f>IF(AND(HR_Employees[[#This Row],[Attrition]]="YES",HR_Employees[[#This Row],[Exit_Date]]&lt;&gt;""),YEAR(HR_Employees[[#This Row],[Exit_Date]]),"")</f>
        <v>2024</v>
      </c>
    </row>
    <row r="600" spans="1:19">
      <c r="A600" t="s">
        <v>991</v>
      </c>
      <c r="B600" t="s">
        <v>992</v>
      </c>
      <c r="C600">
        <v>39</v>
      </c>
      <c r="D600" t="s">
        <v>61</v>
      </c>
      <c r="E600" t="s">
        <v>32</v>
      </c>
      <c r="F600" t="s">
        <v>22</v>
      </c>
      <c r="G600" t="s">
        <v>23</v>
      </c>
      <c r="H600" s="2">
        <v>46066</v>
      </c>
      <c r="I600" s="2" t="str">
        <f>IFERROR(VLOOKUP(HR_Employees[[#This Row],[Employee_ID]],'[1]Synthetic Exit Data'!$A$2:$E$235,4,0)," NA")</f>
        <v xml:space="preserve"> NA</v>
      </c>
      <c r="J600" t="s">
        <v>24</v>
      </c>
      <c r="K600">
        <v>5</v>
      </c>
      <c r="L600" s="3">
        <v>29910</v>
      </c>
      <c r="M600" t="s">
        <v>82</v>
      </c>
      <c r="N600" t="s">
        <v>43</v>
      </c>
      <c r="O600">
        <v>0.67</v>
      </c>
      <c r="P600" t="s">
        <v>35</v>
      </c>
      <c r="Q600" t="s">
        <v>86</v>
      </c>
      <c r="R600">
        <v>2026</v>
      </c>
      <c r="S600" t="str">
        <f>IF(AND(HR_Employees[[#This Row],[Attrition]]="YES",HR_Employees[[#This Row],[Exit_Date]]&lt;&gt;""),YEAR(HR_Employees[[#This Row],[Exit_Date]]),"")</f>
        <v/>
      </c>
    </row>
    <row r="601" spans="1:19">
      <c r="A601" t="s">
        <v>993</v>
      </c>
      <c r="B601" t="s">
        <v>412</v>
      </c>
      <c r="C601">
        <v>35</v>
      </c>
      <c r="D601" t="s">
        <v>31</v>
      </c>
      <c r="E601" t="s">
        <v>21</v>
      </c>
      <c r="F601" t="s">
        <v>40</v>
      </c>
      <c r="G601" t="s">
        <v>23</v>
      </c>
      <c r="H601" s="2">
        <v>45905</v>
      </c>
      <c r="I601" s="2" t="str">
        <f>IFERROR(VLOOKUP(HR_Employees[[#This Row],[Employee_ID]],'[1]Synthetic Exit Data'!$A$2:$E$235,4,0)," NA")</f>
        <v>2025-10-18</v>
      </c>
      <c r="J601" t="s">
        <v>49</v>
      </c>
      <c r="K601">
        <v>2</v>
      </c>
      <c r="L601" s="3">
        <v>23052</v>
      </c>
      <c r="M601" t="s">
        <v>82</v>
      </c>
      <c r="N601" t="s">
        <v>43</v>
      </c>
      <c r="O601">
        <v>0.92</v>
      </c>
      <c r="P601" t="s">
        <v>51</v>
      </c>
      <c r="Q601" t="s">
        <v>58</v>
      </c>
      <c r="R601">
        <v>2025</v>
      </c>
      <c r="S601">
        <f>IF(AND(HR_Employees[[#This Row],[Attrition]]="YES",HR_Employees[[#This Row],[Exit_Date]]&lt;&gt;""),YEAR(HR_Employees[[#This Row],[Exit_Date]]),"")</f>
        <v>2025</v>
      </c>
    </row>
    <row r="602" spans="1:19">
      <c r="A602" t="s">
        <v>994</v>
      </c>
      <c r="B602" t="s">
        <v>995</v>
      </c>
      <c r="C602">
        <v>33</v>
      </c>
      <c r="D602" t="s">
        <v>31</v>
      </c>
      <c r="E602" t="s">
        <v>32</v>
      </c>
      <c r="F602" t="s">
        <v>47</v>
      </c>
      <c r="G602" t="s">
        <v>114</v>
      </c>
      <c r="H602" s="2">
        <v>44025</v>
      </c>
      <c r="I602" s="2" t="str">
        <f>IFERROR(VLOOKUP(HR_Employees[[#This Row],[Employee_ID]],'[1]Synthetic Exit Data'!$A$2:$E$235,4,0)," NA")</f>
        <v xml:space="preserve"> NA</v>
      </c>
      <c r="J602" t="s">
        <v>24</v>
      </c>
      <c r="K602">
        <v>2</v>
      </c>
      <c r="L602" s="3">
        <v>140382</v>
      </c>
      <c r="M602" t="s">
        <v>25</v>
      </c>
      <c r="N602" t="s">
        <v>79</v>
      </c>
      <c r="O602">
        <v>6.25</v>
      </c>
      <c r="P602" t="s">
        <v>35</v>
      </c>
      <c r="Q602" t="s">
        <v>76</v>
      </c>
      <c r="R602">
        <v>2020</v>
      </c>
      <c r="S602" t="str">
        <f>IF(AND(HR_Employees[[#This Row],[Attrition]]="YES",HR_Employees[[#This Row],[Exit_Date]]&lt;&gt;""),YEAR(HR_Employees[[#This Row],[Exit_Date]]),"")</f>
        <v/>
      </c>
    </row>
    <row r="603" spans="1:19">
      <c r="A603" t="s">
        <v>996</v>
      </c>
      <c r="B603" t="s">
        <v>997</v>
      </c>
      <c r="C603">
        <v>24</v>
      </c>
      <c r="D603" t="s">
        <v>39</v>
      </c>
      <c r="E603" t="s">
        <v>21</v>
      </c>
      <c r="F603" t="s">
        <v>40</v>
      </c>
      <c r="G603" t="s">
        <v>114</v>
      </c>
      <c r="H603" s="2">
        <v>42698</v>
      </c>
      <c r="I603" s="2" t="str">
        <f>IFERROR(VLOOKUP(HR_Employees[[#This Row],[Employee_ID]],'[1]Synthetic Exit Data'!$A$2:$E$235,4,0)," NA")</f>
        <v>2016-12-16</v>
      </c>
      <c r="J603" t="s">
        <v>49</v>
      </c>
      <c r="K603">
        <v>2</v>
      </c>
      <c r="L603" s="3">
        <v>152263</v>
      </c>
      <c r="M603" t="s">
        <v>25</v>
      </c>
      <c r="N603" t="s">
        <v>79</v>
      </c>
      <c r="O603">
        <v>9.75</v>
      </c>
      <c r="P603" t="s">
        <v>51</v>
      </c>
      <c r="Q603" t="s">
        <v>86</v>
      </c>
      <c r="R603">
        <v>2016</v>
      </c>
      <c r="S603">
        <f>IF(AND(HR_Employees[[#This Row],[Attrition]]="YES",HR_Employees[[#This Row],[Exit_Date]]&lt;&gt;""),YEAR(HR_Employees[[#This Row],[Exit_Date]]),"")</f>
        <v>2016</v>
      </c>
    </row>
    <row r="604" spans="1:19">
      <c r="A604" t="s">
        <v>998</v>
      </c>
      <c r="B604" t="s">
        <v>999</v>
      </c>
      <c r="C604">
        <v>42</v>
      </c>
      <c r="D604" t="s">
        <v>61</v>
      </c>
      <c r="E604" t="s">
        <v>21</v>
      </c>
      <c r="F604" t="s">
        <v>151</v>
      </c>
      <c r="G604" t="s">
        <v>23</v>
      </c>
      <c r="H604" s="2">
        <v>45609</v>
      </c>
      <c r="I604" s="2" t="str">
        <f>IFERROR(VLOOKUP(HR_Employees[[#This Row],[Employee_ID]],'[1]Synthetic Exit Data'!$A$2:$E$235,4,0)," NA")</f>
        <v xml:space="preserve"> NA</v>
      </c>
      <c r="J604" t="s">
        <v>24</v>
      </c>
      <c r="K604">
        <v>5</v>
      </c>
      <c r="L604" s="3">
        <v>27069</v>
      </c>
      <c r="M604" t="s">
        <v>82</v>
      </c>
      <c r="N604" t="s">
        <v>56</v>
      </c>
      <c r="O604">
        <v>1.92</v>
      </c>
      <c r="P604" t="s">
        <v>51</v>
      </c>
      <c r="Q604" t="s">
        <v>28</v>
      </c>
      <c r="R604">
        <v>2024</v>
      </c>
      <c r="S604" t="str">
        <f>IF(AND(HR_Employees[[#This Row],[Attrition]]="YES",HR_Employees[[#This Row],[Exit_Date]]&lt;&gt;""),YEAR(HR_Employees[[#This Row],[Exit_Date]]),"")</f>
        <v/>
      </c>
    </row>
    <row r="605" spans="1:19">
      <c r="A605" t="s">
        <v>1000</v>
      </c>
      <c r="B605" t="s">
        <v>1001</v>
      </c>
      <c r="C605">
        <v>29</v>
      </c>
      <c r="D605" t="s">
        <v>31</v>
      </c>
      <c r="E605" t="s">
        <v>21</v>
      </c>
      <c r="F605" t="s">
        <v>47</v>
      </c>
      <c r="G605" t="s">
        <v>23</v>
      </c>
      <c r="H605" s="2">
        <v>46186</v>
      </c>
      <c r="I605" s="2" t="str">
        <f>IFERROR(VLOOKUP(HR_Employees[[#This Row],[Employee_ID]],'[1]Synthetic Exit Data'!$A$2:$E$235,4,0)," NA")</f>
        <v xml:space="preserve"> NA</v>
      </c>
      <c r="J605" t="s">
        <v>24</v>
      </c>
      <c r="K605">
        <v>3</v>
      </c>
      <c r="L605" s="3">
        <v>29697</v>
      </c>
      <c r="M605" t="s">
        <v>82</v>
      </c>
      <c r="N605" t="s">
        <v>43</v>
      </c>
      <c r="O605">
        <v>0.33</v>
      </c>
      <c r="P605" t="s">
        <v>27</v>
      </c>
      <c r="Q605" t="s">
        <v>86</v>
      </c>
      <c r="R605">
        <v>2026</v>
      </c>
      <c r="S605" t="str">
        <f>IF(AND(HR_Employees[[#This Row],[Attrition]]="YES",HR_Employees[[#This Row],[Exit_Date]]&lt;&gt;""),YEAR(HR_Employees[[#This Row],[Exit_Date]]),"")</f>
        <v/>
      </c>
    </row>
    <row r="606" spans="1:19">
      <c r="A606" t="s">
        <v>1002</v>
      </c>
      <c r="B606" t="s">
        <v>108</v>
      </c>
      <c r="C606">
        <v>21</v>
      </c>
      <c r="D606" t="s">
        <v>39</v>
      </c>
      <c r="E606" t="s">
        <v>32</v>
      </c>
      <c r="F606" t="s">
        <v>40</v>
      </c>
      <c r="G606" t="s">
        <v>23</v>
      </c>
      <c r="H606" s="2">
        <v>46247</v>
      </c>
      <c r="I606" s="2" t="str">
        <f>IFERROR(VLOOKUP(HR_Employees[[#This Row],[Employee_ID]],'[1]Synthetic Exit Data'!$A$2:$E$235,4,0)," NA")</f>
        <v xml:space="preserve"> NA</v>
      </c>
      <c r="J606" t="s">
        <v>24</v>
      </c>
      <c r="K606">
        <v>3</v>
      </c>
      <c r="L606" s="3">
        <v>46682</v>
      </c>
      <c r="M606" t="s">
        <v>42</v>
      </c>
      <c r="N606" t="s">
        <v>43</v>
      </c>
      <c r="O606">
        <v>0.17</v>
      </c>
      <c r="P606" t="s">
        <v>35</v>
      </c>
      <c r="Q606" t="s">
        <v>62</v>
      </c>
      <c r="R606">
        <v>2026</v>
      </c>
      <c r="S606" t="str">
        <f>IF(AND(HR_Employees[[#This Row],[Attrition]]="YES",HR_Employees[[#This Row],[Exit_Date]]&lt;&gt;""),YEAR(HR_Employees[[#This Row],[Exit_Date]]),"")</f>
        <v/>
      </c>
    </row>
    <row r="607" spans="1:19">
      <c r="A607" t="s">
        <v>1003</v>
      </c>
      <c r="B607" t="s">
        <v>692</v>
      </c>
      <c r="C607">
        <v>53</v>
      </c>
      <c r="D607" t="s">
        <v>20</v>
      </c>
      <c r="E607" t="s">
        <v>21</v>
      </c>
      <c r="F607" t="s">
        <v>55</v>
      </c>
      <c r="G607" t="s">
        <v>48</v>
      </c>
      <c r="H607" s="2">
        <v>45105</v>
      </c>
      <c r="I607" s="2" t="str">
        <f>IFERROR(VLOOKUP(HR_Employees[[#This Row],[Employee_ID]],'[1]Synthetic Exit Data'!$A$2:$E$235,4,0)," NA")</f>
        <v>2023-11-16</v>
      </c>
      <c r="J607" t="s">
        <v>49</v>
      </c>
      <c r="K607">
        <v>5</v>
      </c>
      <c r="L607" s="3">
        <v>114423</v>
      </c>
      <c r="M607" t="s">
        <v>25</v>
      </c>
      <c r="N607" t="s">
        <v>50</v>
      </c>
      <c r="O607">
        <v>3.25</v>
      </c>
      <c r="P607" t="s">
        <v>27</v>
      </c>
      <c r="Q607" t="s">
        <v>58</v>
      </c>
      <c r="R607">
        <v>2023</v>
      </c>
      <c r="S607">
        <f>IF(AND(HR_Employees[[#This Row],[Attrition]]="YES",HR_Employees[[#This Row],[Exit_Date]]&lt;&gt;""),YEAR(HR_Employees[[#This Row],[Exit_Date]]),"")</f>
        <v>2023</v>
      </c>
    </row>
    <row r="608" spans="1:19">
      <c r="A608" t="s">
        <v>1004</v>
      </c>
      <c r="B608" t="s">
        <v>1005</v>
      </c>
      <c r="C608">
        <v>28</v>
      </c>
      <c r="D608" t="s">
        <v>31</v>
      </c>
      <c r="E608" t="s">
        <v>21</v>
      </c>
      <c r="F608" t="s">
        <v>22</v>
      </c>
      <c r="G608" t="s">
        <v>23</v>
      </c>
      <c r="H608" s="2">
        <v>44939</v>
      </c>
      <c r="I608" s="2" t="str">
        <f>IFERROR(VLOOKUP(HR_Employees[[#This Row],[Employee_ID]],'[1]Synthetic Exit Data'!$A$2:$E$235,4,0)," NA")</f>
        <v xml:space="preserve"> NA</v>
      </c>
      <c r="J608" t="s">
        <v>24</v>
      </c>
      <c r="K608">
        <v>3</v>
      </c>
      <c r="L608" s="3">
        <v>18256</v>
      </c>
      <c r="M608" t="s">
        <v>82</v>
      </c>
      <c r="N608" t="s">
        <v>50</v>
      </c>
      <c r="O608">
        <v>3.75</v>
      </c>
      <c r="P608" t="s">
        <v>125</v>
      </c>
      <c r="Q608" t="s">
        <v>36</v>
      </c>
      <c r="R608">
        <v>2023</v>
      </c>
      <c r="S608" t="str">
        <f>IF(AND(HR_Employees[[#This Row],[Attrition]]="YES",HR_Employees[[#This Row],[Exit_Date]]&lt;&gt;""),YEAR(HR_Employees[[#This Row],[Exit_Date]]),"")</f>
        <v/>
      </c>
    </row>
    <row r="609" spans="1:19">
      <c r="A609" t="s">
        <v>1006</v>
      </c>
      <c r="B609" t="s">
        <v>332</v>
      </c>
      <c r="C609">
        <v>25</v>
      </c>
      <c r="D609" t="s">
        <v>39</v>
      </c>
      <c r="E609" t="s">
        <v>32</v>
      </c>
      <c r="F609" t="s">
        <v>109</v>
      </c>
      <c r="G609" t="s">
        <v>114</v>
      </c>
      <c r="H609" s="2">
        <v>45273</v>
      </c>
      <c r="I609" s="2" t="str">
        <f>IFERROR(VLOOKUP(HR_Employees[[#This Row],[Employee_ID]],'[1]Synthetic Exit Data'!$A$2:$E$235,4,0)," NA")</f>
        <v xml:space="preserve"> NA</v>
      </c>
      <c r="J609" t="s">
        <v>24</v>
      </c>
      <c r="K609">
        <v>5</v>
      </c>
      <c r="L609" s="3">
        <v>93838</v>
      </c>
      <c r="M609" t="s">
        <v>66</v>
      </c>
      <c r="N609" t="s">
        <v>56</v>
      </c>
      <c r="O609">
        <v>2.83</v>
      </c>
      <c r="P609" t="s">
        <v>51</v>
      </c>
      <c r="Q609" t="s">
        <v>86</v>
      </c>
      <c r="R609">
        <v>2023</v>
      </c>
      <c r="S609" t="str">
        <f>IF(AND(HR_Employees[[#This Row],[Attrition]]="YES",HR_Employees[[#This Row],[Exit_Date]]&lt;&gt;""),YEAR(HR_Employees[[#This Row],[Exit_Date]]),"")</f>
        <v/>
      </c>
    </row>
    <row r="610" spans="1:19">
      <c r="A610" t="s">
        <v>1007</v>
      </c>
      <c r="B610" t="s">
        <v>1008</v>
      </c>
      <c r="C610">
        <v>23</v>
      </c>
      <c r="D610" t="s">
        <v>39</v>
      </c>
      <c r="E610" t="s">
        <v>21</v>
      </c>
      <c r="F610" t="s">
        <v>47</v>
      </c>
      <c r="G610" t="s">
        <v>33</v>
      </c>
      <c r="H610" s="2">
        <v>45256</v>
      </c>
      <c r="I610" s="2" t="str">
        <f>IFERROR(VLOOKUP(HR_Employees[[#This Row],[Employee_ID]],'[1]Synthetic Exit Data'!$A$2:$E$235,4,0)," NA")</f>
        <v>2023-12-12</v>
      </c>
      <c r="J610" t="s">
        <v>49</v>
      </c>
      <c r="K610">
        <v>2</v>
      </c>
      <c r="L610" s="3">
        <v>23170</v>
      </c>
      <c r="M610" t="s">
        <v>82</v>
      </c>
      <c r="N610" t="s">
        <v>56</v>
      </c>
      <c r="O610">
        <v>2.83</v>
      </c>
      <c r="P610" t="s">
        <v>51</v>
      </c>
      <c r="Q610" t="s">
        <v>44</v>
      </c>
      <c r="R610">
        <v>2023</v>
      </c>
      <c r="S610">
        <f>IF(AND(HR_Employees[[#This Row],[Attrition]]="YES",HR_Employees[[#This Row],[Exit_Date]]&lt;&gt;""),YEAR(HR_Employees[[#This Row],[Exit_Date]]),"")</f>
        <v>2023</v>
      </c>
    </row>
    <row r="611" spans="1:19">
      <c r="A611" t="s">
        <v>1009</v>
      </c>
      <c r="B611" t="s">
        <v>1010</v>
      </c>
      <c r="C611">
        <v>29</v>
      </c>
      <c r="D611" t="s">
        <v>31</v>
      </c>
      <c r="E611" t="s">
        <v>32</v>
      </c>
      <c r="F611" t="s">
        <v>109</v>
      </c>
      <c r="G611" t="s">
        <v>23</v>
      </c>
      <c r="H611" s="2">
        <v>40768</v>
      </c>
      <c r="I611" s="2" t="str">
        <f>IFERROR(VLOOKUP(HR_Employees[[#This Row],[Employee_ID]],'[1]Synthetic Exit Data'!$A$2:$E$235,4,0)," NA")</f>
        <v xml:space="preserve"> NA</v>
      </c>
      <c r="J611" t="s">
        <v>24</v>
      </c>
      <c r="K611">
        <v>5</v>
      </c>
      <c r="L611" s="3">
        <v>95701</v>
      </c>
      <c r="M611" t="s">
        <v>66</v>
      </c>
      <c r="N611" t="s">
        <v>26</v>
      </c>
      <c r="O611">
        <v>15.17</v>
      </c>
      <c r="P611" t="s">
        <v>57</v>
      </c>
      <c r="Q611" t="s">
        <v>36</v>
      </c>
      <c r="R611">
        <v>2011</v>
      </c>
      <c r="S611" t="str">
        <f>IF(AND(HR_Employees[[#This Row],[Attrition]]="YES",HR_Employees[[#This Row],[Exit_Date]]&lt;&gt;""),YEAR(HR_Employees[[#This Row],[Exit_Date]]),"")</f>
        <v/>
      </c>
    </row>
    <row r="612" spans="1:19">
      <c r="A612" t="s">
        <v>1011</v>
      </c>
      <c r="B612" t="s">
        <v>482</v>
      </c>
      <c r="C612">
        <v>44</v>
      </c>
      <c r="D612" t="s">
        <v>61</v>
      </c>
      <c r="E612" t="s">
        <v>21</v>
      </c>
      <c r="F612" t="s">
        <v>22</v>
      </c>
      <c r="G612" t="s">
        <v>33</v>
      </c>
      <c r="H612" s="2">
        <v>40829</v>
      </c>
      <c r="I612" s="2" t="str">
        <f>IFERROR(VLOOKUP(HR_Employees[[#This Row],[Employee_ID]],'[1]Synthetic Exit Data'!$A$2:$E$235,4,0)," NA")</f>
        <v xml:space="preserve"> NA</v>
      </c>
      <c r="J612" t="s">
        <v>24</v>
      </c>
      <c r="K612">
        <v>3</v>
      </c>
      <c r="L612" s="3">
        <v>69750</v>
      </c>
      <c r="M612" t="s">
        <v>34</v>
      </c>
      <c r="N612" t="s">
        <v>26</v>
      </c>
      <c r="O612">
        <v>15</v>
      </c>
      <c r="P612" t="s">
        <v>27</v>
      </c>
      <c r="Q612" t="s">
        <v>44</v>
      </c>
      <c r="R612">
        <v>2011</v>
      </c>
      <c r="S612" t="str">
        <f>IF(AND(HR_Employees[[#This Row],[Attrition]]="YES",HR_Employees[[#This Row],[Exit_Date]]&lt;&gt;""),YEAR(HR_Employees[[#This Row],[Exit_Date]]),"")</f>
        <v/>
      </c>
    </row>
    <row r="613" spans="1:19">
      <c r="A613" t="s">
        <v>1012</v>
      </c>
      <c r="B613" t="s">
        <v>355</v>
      </c>
      <c r="C613">
        <v>54</v>
      </c>
      <c r="D613" t="s">
        <v>20</v>
      </c>
      <c r="E613" t="s">
        <v>32</v>
      </c>
      <c r="F613" t="s">
        <v>73</v>
      </c>
      <c r="G613" t="s">
        <v>23</v>
      </c>
      <c r="H613" s="2">
        <v>46216</v>
      </c>
      <c r="I613" s="2" t="str">
        <f>IFERROR(VLOOKUP(HR_Employees[[#This Row],[Employee_ID]],'[1]Synthetic Exit Data'!$A$2:$E$235,4,0)," NA")</f>
        <v xml:space="preserve"> NA</v>
      </c>
      <c r="J613" t="s">
        <v>24</v>
      </c>
      <c r="K613">
        <v>4</v>
      </c>
      <c r="L613" s="3">
        <v>76249</v>
      </c>
      <c r="M613" t="s">
        <v>66</v>
      </c>
      <c r="N613" t="s">
        <v>43</v>
      </c>
      <c r="O613">
        <v>0.25</v>
      </c>
      <c r="P613" t="s">
        <v>35</v>
      </c>
      <c r="Q613" t="s">
        <v>58</v>
      </c>
      <c r="R613">
        <v>2026</v>
      </c>
      <c r="S613" t="str">
        <f>IF(AND(HR_Employees[[#This Row],[Attrition]]="YES",HR_Employees[[#This Row],[Exit_Date]]&lt;&gt;""),YEAR(HR_Employees[[#This Row],[Exit_Date]]),"")</f>
        <v/>
      </c>
    </row>
    <row r="614" spans="1:19">
      <c r="A614" t="s">
        <v>1013</v>
      </c>
      <c r="B614" t="s">
        <v>1014</v>
      </c>
      <c r="C614">
        <v>25</v>
      </c>
      <c r="D614" t="s">
        <v>39</v>
      </c>
      <c r="E614" t="s">
        <v>21</v>
      </c>
      <c r="F614" t="s">
        <v>40</v>
      </c>
      <c r="G614" t="s">
        <v>33</v>
      </c>
      <c r="H614" s="2">
        <v>45456</v>
      </c>
      <c r="I614" s="2" t="str">
        <f>IFERROR(VLOOKUP(HR_Employees[[#This Row],[Employee_ID]],'[1]Synthetic Exit Data'!$A$2:$E$235,4,0)," NA")</f>
        <v xml:space="preserve"> NA</v>
      </c>
      <c r="J614" t="s">
        <v>24</v>
      </c>
      <c r="K614">
        <v>4</v>
      </c>
      <c r="L614" s="3">
        <v>95494</v>
      </c>
      <c r="M614" t="s">
        <v>66</v>
      </c>
      <c r="N614" t="s">
        <v>56</v>
      </c>
      <c r="O614">
        <v>2.33</v>
      </c>
      <c r="P614" t="s">
        <v>35</v>
      </c>
      <c r="Q614" t="s">
        <v>58</v>
      </c>
      <c r="R614">
        <v>2024</v>
      </c>
      <c r="S614" t="str">
        <f>IF(AND(HR_Employees[[#This Row],[Attrition]]="YES",HR_Employees[[#This Row],[Exit_Date]]&lt;&gt;""),YEAR(HR_Employees[[#This Row],[Exit_Date]]),"")</f>
        <v/>
      </c>
    </row>
    <row r="615" spans="1:19">
      <c r="A615" t="s">
        <v>1015</v>
      </c>
      <c r="B615" t="s">
        <v>839</v>
      </c>
      <c r="C615">
        <v>39</v>
      </c>
      <c r="D615" t="s">
        <v>61</v>
      </c>
      <c r="E615" t="s">
        <v>21</v>
      </c>
      <c r="F615" t="s">
        <v>40</v>
      </c>
      <c r="G615" t="s">
        <v>23</v>
      </c>
      <c r="H615" s="2">
        <v>45790</v>
      </c>
      <c r="I615" s="2" t="str">
        <f>IFERROR(VLOOKUP(HR_Employees[[#This Row],[Employee_ID]],'[1]Synthetic Exit Data'!$A$2:$E$235,4,0)," NA")</f>
        <v xml:space="preserve"> NA</v>
      </c>
      <c r="J615" t="s">
        <v>24</v>
      </c>
      <c r="K615">
        <v>4</v>
      </c>
      <c r="L615" s="3">
        <v>171426</v>
      </c>
      <c r="M615" t="s">
        <v>25</v>
      </c>
      <c r="N615" t="s">
        <v>56</v>
      </c>
      <c r="O615">
        <v>1.42</v>
      </c>
      <c r="P615" t="s">
        <v>51</v>
      </c>
      <c r="Q615" t="s">
        <v>44</v>
      </c>
      <c r="R615">
        <v>2025</v>
      </c>
      <c r="S615" t="str">
        <f>IF(AND(HR_Employees[[#This Row],[Attrition]]="YES",HR_Employees[[#This Row],[Exit_Date]]&lt;&gt;""),YEAR(HR_Employees[[#This Row],[Exit_Date]]),"")</f>
        <v/>
      </c>
    </row>
    <row r="616" spans="1:19">
      <c r="A616" t="s">
        <v>1016</v>
      </c>
      <c r="B616" t="s">
        <v>1017</v>
      </c>
      <c r="C616">
        <v>24</v>
      </c>
      <c r="D616" t="s">
        <v>39</v>
      </c>
      <c r="E616" t="s">
        <v>32</v>
      </c>
      <c r="F616" t="s">
        <v>22</v>
      </c>
      <c r="G616" t="s">
        <v>23</v>
      </c>
      <c r="H616" s="2">
        <v>46278</v>
      </c>
      <c r="I616" s="2" t="str">
        <f>IFERROR(VLOOKUP(HR_Employees[[#This Row],[Employee_ID]],'[1]Synthetic Exit Data'!$A$2:$E$235,4,0)," NA")</f>
        <v xml:space="preserve"> NA</v>
      </c>
      <c r="J616" t="s">
        <v>24</v>
      </c>
      <c r="K616">
        <v>1</v>
      </c>
      <c r="L616" s="3">
        <v>39386</v>
      </c>
      <c r="M616" t="s">
        <v>42</v>
      </c>
      <c r="N616" t="s">
        <v>43</v>
      </c>
      <c r="O616">
        <v>0.08</v>
      </c>
      <c r="P616" t="s">
        <v>57</v>
      </c>
      <c r="Q616" t="s">
        <v>92</v>
      </c>
      <c r="R616">
        <v>2026</v>
      </c>
      <c r="S616" t="str">
        <f>IF(AND(HR_Employees[[#This Row],[Attrition]]="YES",HR_Employees[[#This Row],[Exit_Date]]&lt;&gt;""),YEAR(HR_Employees[[#This Row],[Exit_Date]]),"")</f>
        <v/>
      </c>
    </row>
    <row r="617" spans="1:19">
      <c r="A617" t="s">
        <v>1018</v>
      </c>
      <c r="B617" t="s">
        <v>1019</v>
      </c>
      <c r="C617">
        <v>37</v>
      </c>
      <c r="D617" t="s">
        <v>61</v>
      </c>
      <c r="E617" t="s">
        <v>21</v>
      </c>
      <c r="F617" t="s">
        <v>55</v>
      </c>
      <c r="G617" t="s">
        <v>33</v>
      </c>
      <c r="H617" s="2">
        <v>44239</v>
      </c>
      <c r="I617" s="2" t="str">
        <f>IFERROR(VLOOKUP(HR_Employees[[#This Row],[Employee_ID]],'[1]Synthetic Exit Data'!$A$2:$E$235,4,0)," NA")</f>
        <v>2021-04-04</v>
      </c>
      <c r="J617" t="s">
        <v>49</v>
      </c>
      <c r="K617">
        <v>3</v>
      </c>
      <c r="L617" s="3">
        <v>45955</v>
      </c>
      <c r="M617" t="s">
        <v>42</v>
      </c>
      <c r="N617" t="s">
        <v>79</v>
      </c>
      <c r="O617">
        <v>5.5</v>
      </c>
      <c r="P617" t="s">
        <v>83</v>
      </c>
      <c r="Q617" t="s">
        <v>36</v>
      </c>
      <c r="R617">
        <v>2021</v>
      </c>
      <c r="S617">
        <f>IF(AND(HR_Employees[[#This Row],[Attrition]]="YES",HR_Employees[[#This Row],[Exit_Date]]&lt;&gt;""),YEAR(HR_Employees[[#This Row],[Exit_Date]]),"")</f>
        <v>2021</v>
      </c>
    </row>
    <row r="618" spans="1:19">
      <c r="A618" t="s">
        <v>1020</v>
      </c>
      <c r="B618" t="s">
        <v>841</v>
      </c>
      <c r="C618">
        <v>32</v>
      </c>
      <c r="D618" t="s">
        <v>31</v>
      </c>
      <c r="E618" t="s">
        <v>21</v>
      </c>
      <c r="F618" t="s">
        <v>55</v>
      </c>
      <c r="G618" t="s">
        <v>23</v>
      </c>
      <c r="H618" s="2">
        <v>45943</v>
      </c>
      <c r="I618" s="2" t="str">
        <f>IFERROR(VLOOKUP(HR_Employees[[#This Row],[Employee_ID]],'[1]Synthetic Exit Data'!$A$2:$E$235,4,0)," NA")</f>
        <v xml:space="preserve"> NA</v>
      </c>
      <c r="J618" t="s">
        <v>24</v>
      </c>
      <c r="K618">
        <v>1</v>
      </c>
      <c r="L618" s="3">
        <v>77578</v>
      </c>
      <c r="M618" t="s">
        <v>66</v>
      </c>
      <c r="N618" t="s">
        <v>43</v>
      </c>
      <c r="O618">
        <v>1</v>
      </c>
      <c r="P618" t="s">
        <v>57</v>
      </c>
      <c r="Q618" t="s">
        <v>62</v>
      </c>
      <c r="R618">
        <v>2025</v>
      </c>
      <c r="S618" t="str">
        <f>IF(AND(HR_Employees[[#This Row],[Attrition]]="YES",HR_Employees[[#This Row],[Exit_Date]]&lt;&gt;""),YEAR(HR_Employees[[#This Row],[Exit_Date]]),"")</f>
        <v/>
      </c>
    </row>
    <row r="619" spans="1:19">
      <c r="A619" t="s">
        <v>1021</v>
      </c>
      <c r="B619" t="s">
        <v>1022</v>
      </c>
      <c r="C619">
        <v>24</v>
      </c>
      <c r="D619" t="s">
        <v>39</v>
      </c>
      <c r="E619" t="s">
        <v>21</v>
      </c>
      <c r="F619" t="s">
        <v>109</v>
      </c>
      <c r="G619" t="s">
        <v>33</v>
      </c>
      <c r="H619" s="2">
        <v>44970</v>
      </c>
      <c r="I619" s="2" t="str">
        <f>IFERROR(VLOOKUP(HR_Employees[[#This Row],[Employee_ID]],'[1]Synthetic Exit Data'!$A$2:$E$235,4,0)," NA")</f>
        <v xml:space="preserve"> NA</v>
      </c>
      <c r="J619" t="s">
        <v>24</v>
      </c>
      <c r="K619">
        <v>3</v>
      </c>
      <c r="L619" s="3">
        <v>136817</v>
      </c>
      <c r="M619" t="s">
        <v>25</v>
      </c>
      <c r="N619" t="s">
        <v>50</v>
      </c>
      <c r="O619">
        <v>3.67</v>
      </c>
      <c r="P619" t="s">
        <v>27</v>
      </c>
      <c r="Q619" t="s">
        <v>36</v>
      </c>
      <c r="R619">
        <v>2023</v>
      </c>
      <c r="S619" t="str">
        <f>IF(AND(HR_Employees[[#This Row],[Attrition]]="YES",HR_Employees[[#This Row],[Exit_Date]]&lt;&gt;""),YEAR(HR_Employees[[#This Row],[Exit_Date]]),"")</f>
        <v/>
      </c>
    </row>
    <row r="620" spans="1:19">
      <c r="A620" t="s">
        <v>1023</v>
      </c>
      <c r="B620" t="s">
        <v>1024</v>
      </c>
      <c r="C620">
        <v>52</v>
      </c>
      <c r="D620" t="s">
        <v>20</v>
      </c>
      <c r="E620" t="s">
        <v>32</v>
      </c>
      <c r="F620" t="s">
        <v>73</v>
      </c>
      <c r="G620" t="s">
        <v>33</v>
      </c>
      <c r="H620" s="2">
        <v>43478</v>
      </c>
      <c r="I620" s="2" t="str">
        <f>IFERROR(VLOOKUP(HR_Employees[[#This Row],[Employee_ID]],'[1]Synthetic Exit Data'!$A$2:$E$235,4,0)," NA")</f>
        <v xml:space="preserve"> NA</v>
      </c>
      <c r="J620" t="s">
        <v>24</v>
      </c>
      <c r="K620">
        <v>3</v>
      </c>
      <c r="L620" s="3">
        <v>23374</v>
      </c>
      <c r="M620" t="s">
        <v>82</v>
      </c>
      <c r="N620" t="s">
        <v>79</v>
      </c>
      <c r="O620">
        <v>7.75</v>
      </c>
      <c r="P620" t="s">
        <v>51</v>
      </c>
      <c r="Q620" t="s">
        <v>86</v>
      </c>
      <c r="R620">
        <v>2019</v>
      </c>
      <c r="S620" t="str">
        <f>IF(AND(HR_Employees[[#This Row],[Attrition]]="YES",HR_Employees[[#This Row],[Exit_Date]]&lt;&gt;""),YEAR(HR_Employees[[#This Row],[Exit_Date]]),"")</f>
        <v/>
      </c>
    </row>
    <row r="621" spans="1:19">
      <c r="A621" t="s">
        <v>1025</v>
      </c>
      <c r="B621" t="s">
        <v>446</v>
      </c>
      <c r="C621">
        <v>31</v>
      </c>
      <c r="D621" t="s">
        <v>31</v>
      </c>
      <c r="E621" t="s">
        <v>21</v>
      </c>
      <c r="F621" t="s">
        <v>73</v>
      </c>
      <c r="G621" t="s">
        <v>33</v>
      </c>
      <c r="H621" s="2">
        <v>41742</v>
      </c>
      <c r="I621" s="2" t="str">
        <f>IFERROR(VLOOKUP(HR_Employees[[#This Row],[Employee_ID]],'[1]Synthetic Exit Data'!$A$2:$E$235,4,0)," NA")</f>
        <v xml:space="preserve"> NA</v>
      </c>
      <c r="J621" t="s">
        <v>24</v>
      </c>
      <c r="K621">
        <v>4</v>
      </c>
      <c r="L621" s="3">
        <v>32790</v>
      </c>
      <c r="M621" t="s">
        <v>42</v>
      </c>
      <c r="N621" t="s">
        <v>26</v>
      </c>
      <c r="O621">
        <v>12.5</v>
      </c>
      <c r="P621" t="s">
        <v>83</v>
      </c>
      <c r="Q621" t="s">
        <v>92</v>
      </c>
      <c r="R621">
        <v>2014</v>
      </c>
      <c r="S621" t="str">
        <f>IF(AND(HR_Employees[[#This Row],[Attrition]]="YES",HR_Employees[[#This Row],[Exit_Date]]&lt;&gt;""),YEAR(HR_Employees[[#This Row],[Exit_Date]]),"")</f>
        <v/>
      </c>
    </row>
    <row r="622" spans="1:19">
      <c r="A622" t="s">
        <v>1026</v>
      </c>
      <c r="B622" t="s">
        <v>684</v>
      </c>
      <c r="C622">
        <v>27</v>
      </c>
      <c r="D622" t="s">
        <v>31</v>
      </c>
      <c r="E622" t="s">
        <v>32</v>
      </c>
      <c r="F622" t="s">
        <v>47</v>
      </c>
      <c r="G622" t="s">
        <v>23</v>
      </c>
      <c r="H622" s="2">
        <v>44908</v>
      </c>
      <c r="I622" s="2" t="str">
        <f>IFERROR(VLOOKUP(HR_Employees[[#This Row],[Employee_ID]],'[1]Synthetic Exit Data'!$A$2:$E$235,4,0)," NA")</f>
        <v xml:space="preserve"> NA</v>
      </c>
      <c r="J622" t="s">
        <v>24</v>
      </c>
      <c r="K622">
        <v>5</v>
      </c>
      <c r="L622" s="3">
        <v>84801</v>
      </c>
      <c r="M622" t="s">
        <v>66</v>
      </c>
      <c r="N622" t="s">
        <v>50</v>
      </c>
      <c r="O622">
        <v>3.83</v>
      </c>
      <c r="P622" t="s">
        <v>35</v>
      </c>
      <c r="Q622" t="s">
        <v>76</v>
      </c>
      <c r="R622">
        <v>2022</v>
      </c>
      <c r="S622" t="str">
        <f>IF(AND(HR_Employees[[#This Row],[Attrition]]="YES",HR_Employees[[#This Row],[Exit_Date]]&lt;&gt;""),YEAR(HR_Employees[[#This Row],[Exit_Date]]),"")</f>
        <v/>
      </c>
    </row>
    <row r="623" spans="1:19">
      <c r="A623" t="s">
        <v>1027</v>
      </c>
      <c r="B623" t="s">
        <v>469</v>
      </c>
      <c r="C623">
        <v>35</v>
      </c>
      <c r="D623" t="s">
        <v>31</v>
      </c>
      <c r="E623" t="s">
        <v>21</v>
      </c>
      <c r="F623" t="s">
        <v>109</v>
      </c>
      <c r="G623" t="s">
        <v>23</v>
      </c>
      <c r="H623" s="2">
        <v>46066</v>
      </c>
      <c r="I623" s="2" t="str">
        <f>IFERROR(VLOOKUP(HR_Employees[[#This Row],[Employee_ID]],'[1]Synthetic Exit Data'!$A$2:$E$235,4,0)," NA")</f>
        <v xml:space="preserve"> NA</v>
      </c>
      <c r="J623" t="s">
        <v>24</v>
      </c>
      <c r="K623">
        <v>4</v>
      </c>
      <c r="L623" s="3">
        <v>92407</v>
      </c>
      <c r="M623" t="s">
        <v>66</v>
      </c>
      <c r="N623" t="s">
        <v>43</v>
      </c>
      <c r="O623">
        <v>0.67</v>
      </c>
      <c r="P623" t="s">
        <v>125</v>
      </c>
      <c r="Q623" t="s">
        <v>36</v>
      </c>
      <c r="R623">
        <v>2026</v>
      </c>
      <c r="S623" t="str">
        <f>IF(AND(HR_Employees[[#This Row],[Attrition]]="YES",HR_Employees[[#This Row],[Exit_Date]]&lt;&gt;""),YEAR(HR_Employees[[#This Row],[Exit_Date]]),"")</f>
        <v/>
      </c>
    </row>
    <row r="624" spans="1:19">
      <c r="A624" t="s">
        <v>1028</v>
      </c>
      <c r="B624" t="s">
        <v>1029</v>
      </c>
      <c r="C624">
        <v>27</v>
      </c>
      <c r="D624" t="s">
        <v>31</v>
      </c>
      <c r="E624" t="s">
        <v>21</v>
      </c>
      <c r="F624" t="s">
        <v>22</v>
      </c>
      <c r="G624" t="s">
        <v>48</v>
      </c>
      <c r="H624" s="2">
        <v>42838</v>
      </c>
      <c r="I624" s="2" t="str">
        <f>IFERROR(VLOOKUP(HR_Employees[[#This Row],[Employee_ID]],'[1]Synthetic Exit Data'!$A$2:$E$235,4,0)," NA")</f>
        <v xml:space="preserve"> NA</v>
      </c>
      <c r="J624" t="s">
        <v>24</v>
      </c>
      <c r="K624">
        <v>4</v>
      </c>
      <c r="L624" s="3">
        <v>66557</v>
      </c>
      <c r="M624" t="s">
        <v>34</v>
      </c>
      <c r="N624" t="s">
        <v>79</v>
      </c>
      <c r="O624">
        <v>9.5</v>
      </c>
      <c r="P624" t="s">
        <v>57</v>
      </c>
      <c r="Q624" t="s">
        <v>58</v>
      </c>
      <c r="R624">
        <v>2017</v>
      </c>
      <c r="S624" t="str">
        <f>IF(AND(HR_Employees[[#This Row],[Attrition]]="YES",HR_Employees[[#This Row],[Exit_Date]]&lt;&gt;""),YEAR(HR_Employees[[#This Row],[Exit_Date]]),"")</f>
        <v/>
      </c>
    </row>
    <row r="625" spans="1:19">
      <c r="A625" t="s">
        <v>1030</v>
      </c>
      <c r="B625" t="s">
        <v>122</v>
      </c>
      <c r="C625">
        <v>28</v>
      </c>
      <c r="D625" t="s">
        <v>31</v>
      </c>
      <c r="E625" t="s">
        <v>32</v>
      </c>
      <c r="F625" t="s">
        <v>40</v>
      </c>
      <c r="G625" t="s">
        <v>23</v>
      </c>
      <c r="H625" s="2">
        <v>42595</v>
      </c>
      <c r="I625" s="2" t="str">
        <f>IFERROR(VLOOKUP(HR_Employees[[#This Row],[Employee_ID]],'[1]Synthetic Exit Data'!$A$2:$E$235,4,0)," NA")</f>
        <v xml:space="preserve"> NA</v>
      </c>
      <c r="J625" t="s">
        <v>24</v>
      </c>
      <c r="K625">
        <v>3</v>
      </c>
      <c r="L625" s="3">
        <v>70876</v>
      </c>
      <c r="M625" t="s">
        <v>34</v>
      </c>
      <c r="N625" t="s">
        <v>26</v>
      </c>
      <c r="O625">
        <v>10.17</v>
      </c>
      <c r="P625" t="s">
        <v>51</v>
      </c>
      <c r="Q625" t="s">
        <v>62</v>
      </c>
      <c r="R625">
        <v>2016</v>
      </c>
      <c r="S625" t="str">
        <f>IF(AND(HR_Employees[[#This Row],[Attrition]]="YES",HR_Employees[[#This Row],[Exit_Date]]&lt;&gt;""),YEAR(HR_Employees[[#This Row],[Exit_Date]]),"")</f>
        <v/>
      </c>
    </row>
    <row r="626" spans="1:19">
      <c r="A626" t="s">
        <v>1031</v>
      </c>
      <c r="B626" t="s">
        <v>1032</v>
      </c>
      <c r="C626">
        <v>57</v>
      </c>
      <c r="D626" t="s">
        <v>54</v>
      </c>
      <c r="E626" t="s">
        <v>21</v>
      </c>
      <c r="F626" t="s">
        <v>47</v>
      </c>
      <c r="G626" t="s">
        <v>41</v>
      </c>
      <c r="H626" s="2">
        <v>43782</v>
      </c>
      <c r="I626" s="2" t="str">
        <f>IFERROR(VLOOKUP(HR_Employees[[#This Row],[Employee_ID]],'[1]Synthetic Exit Data'!$A$2:$E$235,4,0)," NA")</f>
        <v xml:space="preserve"> NA</v>
      </c>
      <c r="J626" t="s">
        <v>24</v>
      </c>
      <c r="K626">
        <v>5</v>
      </c>
      <c r="L626" s="3">
        <v>165690</v>
      </c>
      <c r="M626" t="s">
        <v>25</v>
      </c>
      <c r="N626" t="s">
        <v>79</v>
      </c>
      <c r="O626">
        <v>6.92</v>
      </c>
      <c r="P626" t="s">
        <v>27</v>
      </c>
      <c r="Q626" t="s">
        <v>28</v>
      </c>
      <c r="R626">
        <v>2019</v>
      </c>
      <c r="S626" t="str">
        <f>IF(AND(HR_Employees[[#This Row],[Attrition]]="YES",HR_Employees[[#This Row],[Exit_Date]]&lt;&gt;""),YEAR(HR_Employees[[#This Row],[Exit_Date]]),"")</f>
        <v/>
      </c>
    </row>
    <row r="627" spans="1:19">
      <c r="A627" t="s">
        <v>1033</v>
      </c>
      <c r="B627" t="s">
        <v>238</v>
      </c>
      <c r="C627">
        <v>40</v>
      </c>
      <c r="D627" t="s">
        <v>61</v>
      </c>
      <c r="E627" t="s">
        <v>32</v>
      </c>
      <c r="F627" t="s">
        <v>109</v>
      </c>
      <c r="G627" t="s">
        <v>23</v>
      </c>
      <c r="H627" s="2">
        <v>46066</v>
      </c>
      <c r="I627" s="2" t="str">
        <f>IFERROR(VLOOKUP(HR_Employees[[#This Row],[Employee_ID]],'[1]Synthetic Exit Data'!$A$2:$E$235,4,0)," NA")</f>
        <v xml:space="preserve"> NA</v>
      </c>
      <c r="J627" t="s">
        <v>24</v>
      </c>
      <c r="K627">
        <v>4</v>
      </c>
      <c r="L627" s="3">
        <v>92029</v>
      </c>
      <c r="M627" t="s">
        <v>66</v>
      </c>
      <c r="N627" t="s">
        <v>43</v>
      </c>
      <c r="O627">
        <v>0.67</v>
      </c>
      <c r="P627" t="s">
        <v>57</v>
      </c>
      <c r="Q627" t="s">
        <v>92</v>
      </c>
      <c r="R627">
        <v>2026</v>
      </c>
      <c r="S627" t="str">
        <f>IF(AND(HR_Employees[[#This Row],[Attrition]]="YES",HR_Employees[[#This Row],[Exit_Date]]&lt;&gt;""),YEAR(HR_Employees[[#This Row],[Exit_Date]]),"")</f>
        <v/>
      </c>
    </row>
    <row r="628" spans="1:19">
      <c r="A628" t="s">
        <v>1034</v>
      </c>
      <c r="B628" t="s">
        <v>1035</v>
      </c>
      <c r="C628">
        <v>27</v>
      </c>
      <c r="D628" t="s">
        <v>31</v>
      </c>
      <c r="E628" t="s">
        <v>32</v>
      </c>
      <c r="F628" t="s">
        <v>151</v>
      </c>
      <c r="G628" t="s">
        <v>41</v>
      </c>
      <c r="H628" s="2">
        <v>42564</v>
      </c>
      <c r="I628" s="2" t="str">
        <f>IFERROR(VLOOKUP(HR_Employees[[#This Row],[Employee_ID]],'[1]Synthetic Exit Data'!$A$2:$E$235,4,0)," NA")</f>
        <v xml:space="preserve"> NA</v>
      </c>
      <c r="J628" t="s">
        <v>24</v>
      </c>
      <c r="K628">
        <v>4</v>
      </c>
      <c r="L628" s="3">
        <v>20473</v>
      </c>
      <c r="M628" t="s">
        <v>82</v>
      </c>
      <c r="N628" t="s">
        <v>26</v>
      </c>
      <c r="O628">
        <v>10.25</v>
      </c>
      <c r="P628" t="s">
        <v>51</v>
      </c>
      <c r="Q628" t="s">
        <v>58</v>
      </c>
      <c r="R628">
        <v>2016</v>
      </c>
      <c r="S628" t="str">
        <f>IF(AND(HR_Employees[[#This Row],[Attrition]]="YES",HR_Employees[[#This Row],[Exit_Date]]&lt;&gt;""),YEAR(HR_Employees[[#This Row],[Exit_Date]]),"")</f>
        <v/>
      </c>
    </row>
    <row r="629" spans="1:19">
      <c r="A629" t="s">
        <v>1036</v>
      </c>
      <c r="B629" t="s">
        <v>877</v>
      </c>
      <c r="C629">
        <v>27</v>
      </c>
      <c r="D629" t="s">
        <v>31</v>
      </c>
      <c r="E629" t="s">
        <v>21</v>
      </c>
      <c r="F629" t="s">
        <v>22</v>
      </c>
      <c r="G629" t="s">
        <v>23</v>
      </c>
      <c r="H629" s="2">
        <v>44025</v>
      </c>
      <c r="I629" s="2" t="str">
        <f>IFERROR(VLOOKUP(HR_Employees[[#This Row],[Employee_ID]],'[1]Synthetic Exit Data'!$A$2:$E$235,4,0)," NA")</f>
        <v xml:space="preserve"> NA</v>
      </c>
      <c r="J629" t="s">
        <v>24</v>
      </c>
      <c r="K629">
        <v>3</v>
      </c>
      <c r="L629" s="3">
        <v>66834</v>
      </c>
      <c r="M629" t="s">
        <v>34</v>
      </c>
      <c r="N629" t="s">
        <v>79</v>
      </c>
      <c r="O629">
        <v>6.25</v>
      </c>
      <c r="P629" t="s">
        <v>125</v>
      </c>
      <c r="Q629" t="s">
        <v>92</v>
      </c>
      <c r="R629">
        <v>2020</v>
      </c>
      <c r="S629" t="str">
        <f>IF(AND(HR_Employees[[#This Row],[Attrition]]="YES",HR_Employees[[#This Row],[Exit_Date]]&lt;&gt;""),YEAR(HR_Employees[[#This Row],[Exit_Date]]),"")</f>
        <v/>
      </c>
    </row>
    <row r="630" spans="1:19">
      <c r="A630" t="s">
        <v>1037</v>
      </c>
      <c r="B630" t="s">
        <v>1038</v>
      </c>
      <c r="C630">
        <v>37</v>
      </c>
      <c r="D630" t="s">
        <v>61</v>
      </c>
      <c r="E630" t="s">
        <v>32</v>
      </c>
      <c r="F630" t="s">
        <v>47</v>
      </c>
      <c r="G630" t="s">
        <v>23</v>
      </c>
      <c r="H630" s="2">
        <v>44633</v>
      </c>
      <c r="I630" s="2" t="str">
        <f>IFERROR(VLOOKUP(HR_Employees[[#This Row],[Employee_ID]],'[1]Synthetic Exit Data'!$A$2:$E$235,4,0)," NA")</f>
        <v xml:space="preserve"> NA</v>
      </c>
      <c r="J630" t="s">
        <v>24</v>
      </c>
      <c r="K630">
        <v>2</v>
      </c>
      <c r="L630" s="3">
        <v>46653</v>
      </c>
      <c r="M630" t="s">
        <v>42</v>
      </c>
      <c r="N630" t="s">
        <v>50</v>
      </c>
      <c r="O630">
        <v>4.58</v>
      </c>
      <c r="P630" t="s">
        <v>57</v>
      </c>
      <c r="Q630" t="s">
        <v>28</v>
      </c>
      <c r="R630">
        <v>2022</v>
      </c>
      <c r="S630" t="str">
        <f>IF(AND(HR_Employees[[#This Row],[Attrition]]="YES",HR_Employees[[#This Row],[Exit_Date]]&lt;&gt;""),YEAR(HR_Employees[[#This Row],[Exit_Date]]),"")</f>
        <v/>
      </c>
    </row>
    <row r="631" spans="1:19">
      <c r="A631" t="s">
        <v>1039</v>
      </c>
      <c r="B631" t="s">
        <v>1040</v>
      </c>
      <c r="C631">
        <v>32</v>
      </c>
      <c r="D631" t="s">
        <v>31</v>
      </c>
      <c r="E631" t="s">
        <v>32</v>
      </c>
      <c r="F631" t="s">
        <v>73</v>
      </c>
      <c r="G631" t="s">
        <v>48</v>
      </c>
      <c r="H631" s="2">
        <v>43447</v>
      </c>
      <c r="I631" s="2" t="str">
        <f>IFERROR(VLOOKUP(HR_Employees[[#This Row],[Employee_ID]],'[1]Synthetic Exit Data'!$A$2:$E$235,4,0)," NA")</f>
        <v xml:space="preserve"> NA</v>
      </c>
      <c r="J631" t="s">
        <v>24</v>
      </c>
      <c r="K631">
        <v>4</v>
      </c>
      <c r="L631" s="3">
        <v>40525</v>
      </c>
      <c r="M631" t="s">
        <v>42</v>
      </c>
      <c r="N631" t="s">
        <v>79</v>
      </c>
      <c r="O631">
        <v>7.83</v>
      </c>
      <c r="P631" t="s">
        <v>125</v>
      </c>
      <c r="Q631" t="s">
        <v>36</v>
      </c>
      <c r="R631">
        <v>2018</v>
      </c>
      <c r="S631" t="str">
        <f>IF(AND(HR_Employees[[#This Row],[Attrition]]="YES",HR_Employees[[#This Row],[Exit_Date]]&lt;&gt;""),YEAR(HR_Employees[[#This Row],[Exit_Date]]),"")</f>
        <v/>
      </c>
    </row>
    <row r="632" spans="1:19">
      <c r="A632" t="s">
        <v>1041</v>
      </c>
      <c r="B632" t="s">
        <v>757</v>
      </c>
      <c r="C632">
        <v>25</v>
      </c>
      <c r="D632" t="s">
        <v>39</v>
      </c>
      <c r="E632" t="s">
        <v>21</v>
      </c>
      <c r="F632" t="s">
        <v>47</v>
      </c>
      <c r="G632" t="s">
        <v>33</v>
      </c>
      <c r="H632" s="2">
        <v>43934</v>
      </c>
      <c r="I632" s="2" t="str">
        <f>IFERROR(VLOOKUP(HR_Employees[[#This Row],[Employee_ID]],'[1]Synthetic Exit Data'!$A$2:$E$235,4,0)," NA")</f>
        <v xml:space="preserve"> NA</v>
      </c>
      <c r="J632" t="s">
        <v>24</v>
      </c>
      <c r="K632">
        <v>4</v>
      </c>
      <c r="L632" s="3">
        <v>44187</v>
      </c>
      <c r="M632" t="s">
        <v>42</v>
      </c>
      <c r="N632" t="s">
        <v>79</v>
      </c>
      <c r="O632">
        <v>6.5</v>
      </c>
      <c r="P632" t="s">
        <v>51</v>
      </c>
      <c r="Q632" t="s">
        <v>28</v>
      </c>
      <c r="R632">
        <v>2020</v>
      </c>
      <c r="S632" t="str">
        <f>IF(AND(HR_Employees[[#This Row],[Attrition]]="YES",HR_Employees[[#This Row],[Exit_Date]]&lt;&gt;""),YEAR(HR_Employees[[#This Row],[Exit_Date]]),"")</f>
        <v/>
      </c>
    </row>
    <row r="633" spans="1:19">
      <c r="A633" t="s">
        <v>1042</v>
      </c>
      <c r="B633" t="s">
        <v>368</v>
      </c>
      <c r="C633">
        <v>37</v>
      </c>
      <c r="D633" t="s">
        <v>61</v>
      </c>
      <c r="E633" t="s">
        <v>32</v>
      </c>
      <c r="F633" t="s">
        <v>55</v>
      </c>
      <c r="G633" t="s">
        <v>23</v>
      </c>
      <c r="H633" s="2">
        <v>45974</v>
      </c>
      <c r="I633" s="2" t="str">
        <f>IFERROR(VLOOKUP(HR_Employees[[#This Row],[Employee_ID]],'[1]Synthetic Exit Data'!$A$2:$E$235,4,0)," NA")</f>
        <v xml:space="preserve"> NA</v>
      </c>
      <c r="J633" t="s">
        <v>24</v>
      </c>
      <c r="K633">
        <v>5</v>
      </c>
      <c r="L633" s="3">
        <v>33977</v>
      </c>
      <c r="M633" t="s">
        <v>42</v>
      </c>
      <c r="N633" t="s">
        <v>43</v>
      </c>
      <c r="O633">
        <v>0.92</v>
      </c>
      <c r="P633" t="s">
        <v>27</v>
      </c>
      <c r="Q633" t="s">
        <v>92</v>
      </c>
      <c r="R633">
        <v>2025</v>
      </c>
      <c r="S633" t="str">
        <f>IF(AND(HR_Employees[[#This Row],[Attrition]]="YES",HR_Employees[[#This Row],[Exit_Date]]&lt;&gt;""),YEAR(HR_Employees[[#This Row],[Exit_Date]]),"")</f>
        <v/>
      </c>
    </row>
    <row r="634" spans="1:19">
      <c r="A634" t="s">
        <v>1043</v>
      </c>
      <c r="B634" t="s">
        <v>871</v>
      </c>
      <c r="C634">
        <v>37</v>
      </c>
      <c r="D634" t="s">
        <v>61</v>
      </c>
      <c r="E634" t="s">
        <v>32</v>
      </c>
      <c r="F634" t="s">
        <v>47</v>
      </c>
      <c r="G634" t="s">
        <v>23</v>
      </c>
      <c r="H634" s="2">
        <v>40890</v>
      </c>
      <c r="I634" s="2" t="str">
        <f>IFERROR(VLOOKUP(HR_Employees[[#This Row],[Employee_ID]],'[1]Synthetic Exit Data'!$A$2:$E$235,4,0)," NA")</f>
        <v xml:space="preserve"> NA</v>
      </c>
      <c r="J634" t="s">
        <v>24</v>
      </c>
      <c r="K634">
        <v>4</v>
      </c>
      <c r="L634" s="3">
        <v>20028</v>
      </c>
      <c r="M634" t="s">
        <v>82</v>
      </c>
      <c r="N634" t="s">
        <v>26</v>
      </c>
      <c r="O634">
        <v>14.83</v>
      </c>
      <c r="P634" t="s">
        <v>83</v>
      </c>
      <c r="Q634" t="s">
        <v>92</v>
      </c>
      <c r="R634">
        <v>2011</v>
      </c>
      <c r="S634" t="str">
        <f>IF(AND(HR_Employees[[#This Row],[Attrition]]="YES",HR_Employees[[#This Row],[Exit_Date]]&lt;&gt;""),YEAR(HR_Employees[[#This Row],[Exit_Date]]),"")</f>
        <v/>
      </c>
    </row>
    <row r="635" spans="1:19">
      <c r="A635" t="s">
        <v>1044</v>
      </c>
      <c r="B635" t="s">
        <v>98</v>
      </c>
      <c r="C635">
        <v>35</v>
      </c>
      <c r="D635" t="s">
        <v>31</v>
      </c>
      <c r="E635" t="s">
        <v>21</v>
      </c>
      <c r="F635" t="s">
        <v>47</v>
      </c>
      <c r="G635" t="s">
        <v>23</v>
      </c>
      <c r="H635" s="2">
        <v>45729</v>
      </c>
      <c r="I635" s="2" t="str">
        <f>IFERROR(VLOOKUP(HR_Employees[[#This Row],[Employee_ID]],'[1]Synthetic Exit Data'!$A$2:$E$235,4,0)," NA")</f>
        <v xml:space="preserve"> NA</v>
      </c>
      <c r="J635" t="s">
        <v>24</v>
      </c>
      <c r="K635">
        <v>3</v>
      </c>
      <c r="L635" s="3">
        <v>21268</v>
      </c>
      <c r="M635" t="s">
        <v>82</v>
      </c>
      <c r="N635" t="s">
        <v>56</v>
      </c>
      <c r="O635">
        <v>1.58</v>
      </c>
      <c r="P635" t="s">
        <v>35</v>
      </c>
      <c r="Q635" t="s">
        <v>28</v>
      </c>
      <c r="R635">
        <v>2025</v>
      </c>
      <c r="S635" t="str">
        <f>IF(AND(HR_Employees[[#This Row],[Attrition]]="YES",HR_Employees[[#This Row],[Exit_Date]]&lt;&gt;""),YEAR(HR_Employees[[#This Row],[Exit_Date]]),"")</f>
        <v/>
      </c>
    </row>
    <row r="636" spans="1:19">
      <c r="A636" t="s">
        <v>1045</v>
      </c>
      <c r="B636" t="s">
        <v>648</v>
      </c>
      <c r="C636">
        <v>21</v>
      </c>
      <c r="D636" t="s">
        <v>39</v>
      </c>
      <c r="E636" t="s">
        <v>32</v>
      </c>
      <c r="F636" t="s">
        <v>47</v>
      </c>
      <c r="G636" t="s">
        <v>23</v>
      </c>
      <c r="H636" s="2">
        <v>44056</v>
      </c>
      <c r="I636" s="2" t="str">
        <f>IFERROR(VLOOKUP(HR_Employees[[#This Row],[Employee_ID]],'[1]Synthetic Exit Data'!$A$2:$E$235,4,0)," NA")</f>
        <v xml:space="preserve"> NA</v>
      </c>
      <c r="J636" t="s">
        <v>24</v>
      </c>
      <c r="K636">
        <v>2</v>
      </c>
      <c r="L636" s="3">
        <v>99486</v>
      </c>
      <c r="M636" t="s">
        <v>66</v>
      </c>
      <c r="N636" t="s">
        <v>79</v>
      </c>
      <c r="O636">
        <v>6.17</v>
      </c>
      <c r="P636" t="s">
        <v>125</v>
      </c>
      <c r="Q636" t="s">
        <v>76</v>
      </c>
      <c r="R636">
        <v>2020</v>
      </c>
      <c r="S636" t="str">
        <f>IF(AND(HR_Employees[[#This Row],[Attrition]]="YES",HR_Employees[[#This Row],[Exit_Date]]&lt;&gt;""),YEAR(HR_Employees[[#This Row],[Exit_Date]]),"")</f>
        <v/>
      </c>
    </row>
    <row r="637" spans="1:19">
      <c r="A637" t="s">
        <v>1046</v>
      </c>
      <c r="B637" t="s">
        <v>1047</v>
      </c>
      <c r="C637">
        <v>39</v>
      </c>
      <c r="D637" t="s">
        <v>61</v>
      </c>
      <c r="E637" t="s">
        <v>32</v>
      </c>
      <c r="F637" t="s">
        <v>40</v>
      </c>
      <c r="G637" t="s">
        <v>23</v>
      </c>
      <c r="H637" s="2">
        <v>45897</v>
      </c>
      <c r="I637" s="2" t="str">
        <f>IFERROR(VLOOKUP(HR_Employees[[#This Row],[Employee_ID]],'[1]Synthetic Exit Data'!$A$2:$E$235,4,0)," NA")</f>
        <v>2025-12-17</v>
      </c>
      <c r="J637" t="s">
        <v>49</v>
      </c>
      <c r="K637">
        <v>5</v>
      </c>
      <c r="L637" s="3">
        <v>49917</v>
      </c>
      <c r="M637" t="s">
        <v>42</v>
      </c>
      <c r="N637" t="s">
        <v>56</v>
      </c>
      <c r="O637">
        <v>1.08</v>
      </c>
      <c r="P637" t="s">
        <v>27</v>
      </c>
      <c r="Q637" t="s">
        <v>62</v>
      </c>
      <c r="R637">
        <v>2025</v>
      </c>
      <c r="S637">
        <f>IF(AND(HR_Employees[[#This Row],[Attrition]]="YES",HR_Employees[[#This Row],[Exit_Date]]&lt;&gt;""),YEAR(HR_Employees[[#This Row],[Exit_Date]]),"")</f>
        <v>2025</v>
      </c>
    </row>
    <row r="638" spans="1:19">
      <c r="A638" t="s">
        <v>1048</v>
      </c>
      <c r="B638" t="s">
        <v>81</v>
      </c>
      <c r="C638">
        <v>22</v>
      </c>
      <c r="D638" t="s">
        <v>39</v>
      </c>
      <c r="E638" t="s">
        <v>32</v>
      </c>
      <c r="F638" t="s">
        <v>47</v>
      </c>
      <c r="G638" t="s">
        <v>41</v>
      </c>
      <c r="H638" s="2">
        <v>45190</v>
      </c>
      <c r="I638" s="2" t="str">
        <f>IFERROR(VLOOKUP(HR_Employees[[#This Row],[Employee_ID]],'[1]Synthetic Exit Data'!$A$2:$E$235,4,0)," NA")</f>
        <v>2023-10-12</v>
      </c>
      <c r="J638" t="s">
        <v>49</v>
      </c>
      <c r="K638">
        <v>3</v>
      </c>
      <c r="L638" s="3">
        <v>62074</v>
      </c>
      <c r="M638" t="s">
        <v>34</v>
      </c>
      <c r="N638" t="s">
        <v>56</v>
      </c>
      <c r="O638">
        <v>2.92</v>
      </c>
      <c r="P638" t="s">
        <v>57</v>
      </c>
      <c r="Q638" t="s">
        <v>36</v>
      </c>
      <c r="R638">
        <v>2023</v>
      </c>
      <c r="S638">
        <f>IF(AND(HR_Employees[[#This Row],[Attrition]]="YES",HR_Employees[[#This Row],[Exit_Date]]&lt;&gt;""),YEAR(HR_Employees[[#This Row],[Exit_Date]]),"")</f>
        <v>2023</v>
      </c>
    </row>
    <row r="639" spans="1:19">
      <c r="A639" t="s">
        <v>1049</v>
      </c>
      <c r="B639" t="s">
        <v>1035</v>
      </c>
      <c r="C639">
        <v>50</v>
      </c>
      <c r="D639" t="s">
        <v>20</v>
      </c>
      <c r="E639" t="s">
        <v>32</v>
      </c>
      <c r="F639" t="s">
        <v>47</v>
      </c>
      <c r="G639" t="s">
        <v>48</v>
      </c>
      <c r="H639" s="2">
        <v>43816</v>
      </c>
      <c r="I639" s="2" t="str">
        <f>IFERROR(VLOOKUP(HR_Employees[[#This Row],[Employee_ID]],'[1]Synthetic Exit Data'!$A$2:$E$235,4,0)," NA")</f>
        <v>2020-06-30</v>
      </c>
      <c r="J639" t="s">
        <v>49</v>
      </c>
      <c r="K639">
        <v>3</v>
      </c>
      <c r="L639" s="3">
        <v>22573</v>
      </c>
      <c r="M639" t="s">
        <v>82</v>
      </c>
      <c r="N639" t="s">
        <v>79</v>
      </c>
      <c r="O639">
        <v>6.67</v>
      </c>
      <c r="P639" t="s">
        <v>51</v>
      </c>
      <c r="Q639" t="s">
        <v>92</v>
      </c>
      <c r="R639">
        <v>2019</v>
      </c>
      <c r="S639">
        <f>IF(AND(HR_Employees[[#This Row],[Attrition]]="YES",HR_Employees[[#This Row],[Exit_Date]]&lt;&gt;""),YEAR(HR_Employees[[#This Row],[Exit_Date]]),"")</f>
        <v>2020</v>
      </c>
    </row>
    <row r="640" spans="1:19">
      <c r="A640" t="s">
        <v>1050</v>
      </c>
      <c r="B640" t="s">
        <v>843</v>
      </c>
      <c r="C640">
        <v>39</v>
      </c>
      <c r="D640" t="s">
        <v>61</v>
      </c>
      <c r="E640" t="s">
        <v>32</v>
      </c>
      <c r="F640" t="s">
        <v>55</v>
      </c>
      <c r="G640" t="s">
        <v>33</v>
      </c>
      <c r="H640" s="2">
        <v>45254</v>
      </c>
      <c r="I640" s="2" t="str">
        <f>IFERROR(VLOOKUP(HR_Employees[[#This Row],[Employee_ID]],'[1]Synthetic Exit Data'!$A$2:$E$235,4,0)," NA")</f>
        <v>2023-12-15</v>
      </c>
      <c r="J640" t="s">
        <v>49</v>
      </c>
      <c r="K640">
        <v>4</v>
      </c>
      <c r="L640" s="3">
        <v>65486</v>
      </c>
      <c r="M640" t="s">
        <v>34</v>
      </c>
      <c r="N640" t="s">
        <v>56</v>
      </c>
      <c r="O640">
        <v>2.83</v>
      </c>
      <c r="P640" t="s">
        <v>35</v>
      </c>
      <c r="Q640" t="s">
        <v>76</v>
      </c>
      <c r="R640">
        <v>2023</v>
      </c>
      <c r="S640">
        <f>IF(AND(HR_Employees[[#This Row],[Attrition]]="YES",HR_Employees[[#This Row],[Exit_Date]]&lt;&gt;""),YEAR(HR_Employees[[#This Row],[Exit_Date]]),"")</f>
        <v>2023</v>
      </c>
    </row>
    <row r="641" spans="1:19">
      <c r="A641" t="s">
        <v>1051</v>
      </c>
      <c r="B641" t="s">
        <v>1008</v>
      </c>
      <c r="C641">
        <v>27</v>
      </c>
      <c r="D641" t="s">
        <v>31</v>
      </c>
      <c r="E641" t="s">
        <v>21</v>
      </c>
      <c r="F641" t="s">
        <v>47</v>
      </c>
      <c r="G641" t="s">
        <v>41</v>
      </c>
      <c r="H641" s="2">
        <v>41683</v>
      </c>
      <c r="I641" s="2" t="str">
        <f>IFERROR(VLOOKUP(HR_Employees[[#This Row],[Employee_ID]],'[1]Synthetic Exit Data'!$A$2:$E$235,4,0)," NA")</f>
        <v xml:space="preserve"> NA</v>
      </c>
      <c r="J641" t="s">
        <v>24</v>
      </c>
      <c r="K641">
        <v>4</v>
      </c>
      <c r="L641" s="3">
        <v>67218</v>
      </c>
      <c r="M641" t="s">
        <v>34</v>
      </c>
      <c r="N641" t="s">
        <v>26</v>
      </c>
      <c r="O641">
        <v>12.67</v>
      </c>
      <c r="P641" t="s">
        <v>35</v>
      </c>
      <c r="Q641" t="s">
        <v>44</v>
      </c>
      <c r="R641">
        <v>2014</v>
      </c>
      <c r="S641" t="str">
        <f>IF(AND(HR_Employees[[#This Row],[Attrition]]="YES",HR_Employees[[#This Row],[Exit_Date]]&lt;&gt;""),YEAR(HR_Employees[[#This Row],[Exit_Date]]),"")</f>
        <v/>
      </c>
    </row>
    <row r="642" spans="1:19">
      <c r="A642" t="s">
        <v>1052</v>
      </c>
      <c r="B642" t="s">
        <v>286</v>
      </c>
      <c r="C642">
        <v>29</v>
      </c>
      <c r="D642" t="s">
        <v>31</v>
      </c>
      <c r="E642" t="s">
        <v>21</v>
      </c>
      <c r="F642" t="s">
        <v>55</v>
      </c>
      <c r="G642" t="s">
        <v>48</v>
      </c>
      <c r="H642" s="2">
        <v>40675</v>
      </c>
      <c r="I642" s="2" t="str">
        <f>IFERROR(VLOOKUP(HR_Employees[[#This Row],[Employee_ID]],'[1]Synthetic Exit Data'!$A$2:$E$235,4,0)," NA")</f>
        <v>2018-05-25</v>
      </c>
      <c r="J642" t="s">
        <v>49</v>
      </c>
      <c r="K642">
        <v>3</v>
      </c>
      <c r="L642" s="3">
        <v>27857</v>
      </c>
      <c r="M642" t="s">
        <v>82</v>
      </c>
      <c r="N642" t="s">
        <v>26</v>
      </c>
      <c r="O642">
        <v>15.33</v>
      </c>
      <c r="P642" t="s">
        <v>35</v>
      </c>
      <c r="Q642" t="s">
        <v>86</v>
      </c>
      <c r="R642">
        <v>2011</v>
      </c>
      <c r="S642">
        <f>IF(AND(HR_Employees[[#This Row],[Attrition]]="YES",HR_Employees[[#This Row],[Exit_Date]]&lt;&gt;""),YEAR(HR_Employees[[#This Row],[Exit_Date]]),"")</f>
        <v>2018</v>
      </c>
    </row>
    <row r="643" spans="1:19">
      <c r="A643" t="s">
        <v>1053</v>
      </c>
      <c r="B643" t="s">
        <v>1054</v>
      </c>
      <c r="C643">
        <v>27</v>
      </c>
      <c r="D643" t="s">
        <v>31</v>
      </c>
      <c r="E643" t="s">
        <v>32</v>
      </c>
      <c r="F643" t="s">
        <v>47</v>
      </c>
      <c r="G643" t="s">
        <v>23</v>
      </c>
      <c r="H643" s="2">
        <v>46066</v>
      </c>
      <c r="I643" s="2" t="str">
        <f>IFERROR(VLOOKUP(HR_Employees[[#This Row],[Employee_ID]],'[1]Synthetic Exit Data'!$A$2:$E$235,4,0)," NA")</f>
        <v xml:space="preserve"> NA</v>
      </c>
      <c r="J643" t="s">
        <v>24</v>
      </c>
      <c r="K643">
        <v>4</v>
      </c>
      <c r="L643" s="3">
        <v>21404</v>
      </c>
      <c r="M643" t="s">
        <v>82</v>
      </c>
      <c r="N643" t="s">
        <v>43</v>
      </c>
      <c r="O643">
        <v>0.67</v>
      </c>
      <c r="P643" t="s">
        <v>35</v>
      </c>
      <c r="Q643" t="s">
        <v>76</v>
      </c>
      <c r="R643">
        <v>2026</v>
      </c>
      <c r="S643" t="str">
        <f>IF(AND(HR_Employees[[#This Row],[Attrition]]="YES",HR_Employees[[#This Row],[Exit_Date]]&lt;&gt;""),YEAR(HR_Employees[[#This Row],[Exit_Date]]),"")</f>
        <v/>
      </c>
    </row>
    <row r="644" spans="1:19">
      <c r="A644" t="s">
        <v>1055</v>
      </c>
      <c r="B644" t="s">
        <v>1056</v>
      </c>
      <c r="C644">
        <v>45</v>
      </c>
      <c r="D644" t="s">
        <v>61</v>
      </c>
      <c r="E644" t="s">
        <v>32</v>
      </c>
      <c r="F644" t="s">
        <v>47</v>
      </c>
      <c r="G644" t="s">
        <v>23</v>
      </c>
      <c r="H644" s="2">
        <v>45486</v>
      </c>
      <c r="I644" s="2" t="str">
        <f>IFERROR(VLOOKUP(HR_Employees[[#This Row],[Employee_ID]],'[1]Synthetic Exit Data'!$A$2:$E$235,4,0)," NA")</f>
        <v xml:space="preserve"> NA</v>
      </c>
      <c r="J644" t="s">
        <v>24</v>
      </c>
      <c r="K644">
        <v>5</v>
      </c>
      <c r="L644" s="3">
        <v>39442</v>
      </c>
      <c r="M644" t="s">
        <v>42</v>
      </c>
      <c r="N644" t="s">
        <v>56</v>
      </c>
      <c r="O644">
        <v>2.25</v>
      </c>
      <c r="P644" t="s">
        <v>57</v>
      </c>
      <c r="Q644" t="s">
        <v>76</v>
      </c>
      <c r="R644">
        <v>2024</v>
      </c>
      <c r="S644" t="str">
        <f>IF(AND(HR_Employees[[#This Row],[Attrition]]="YES",HR_Employees[[#This Row],[Exit_Date]]&lt;&gt;""),YEAR(HR_Employees[[#This Row],[Exit_Date]]),"")</f>
        <v/>
      </c>
    </row>
    <row r="645" spans="1:19">
      <c r="A645" t="s">
        <v>1057</v>
      </c>
      <c r="B645" t="s">
        <v>905</v>
      </c>
      <c r="C645">
        <v>40</v>
      </c>
      <c r="D645" t="s">
        <v>61</v>
      </c>
      <c r="E645" t="s">
        <v>32</v>
      </c>
      <c r="F645" t="s">
        <v>47</v>
      </c>
      <c r="G645" t="s">
        <v>48</v>
      </c>
      <c r="H645" s="2">
        <v>45974</v>
      </c>
      <c r="I645" s="2" t="str">
        <f>IFERROR(VLOOKUP(HR_Employees[[#This Row],[Employee_ID]],'[1]Synthetic Exit Data'!$A$2:$E$235,4,0)," NA")</f>
        <v xml:space="preserve"> NA</v>
      </c>
      <c r="J645" t="s">
        <v>24</v>
      </c>
      <c r="K645">
        <v>4</v>
      </c>
      <c r="L645" s="3">
        <v>19644</v>
      </c>
      <c r="M645" t="s">
        <v>82</v>
      </c>
      <c r="N645" t="s">
        <v>43</v>
      </c>
      <c r="O645">
        <v>0.92</v>
      </c>
      <c r="P645" t="s">
        <v>27</v>
      </c>
      <c r="Q645" t="s">
        <v>28</v>
      </c>
      <c r="R645">
        <v>2025</v>
      </c>
      <c r="S645" t="str">
        <f>IF(AND(HR_Employees[[#This Row],[Attrition]]="YES",HR_Employees[[#This Row],[Exit_Date]]&lt;&gt;""),YEAR(HR_Employees[[#This Row],[Exit_Date]]),"")</f>
        <v/>
      </c>
    </row>
    <row r="646" spans="1:19">
      <c r="A646" t="s">
        <v>1058</v>
      </c>
      <c r="B646" t="s">
        <v>611</v>
      </c>
      <c r="C646">
        <v>52</v>
      </c>
      <c r="D646" t="s">
        <v>20</v>
      </c>
      <c r="E646" t="s">
        <v>32</v>
      </c>
      <c r="F646" t="s">
        <v>40</v>
      </c>
      <c r="G646" t="s">
        <v>41</v>
      </c>
      <c r="H646" s="2">
        <v>46035</v>
      </c>
      <c r="I646" s="2" t="str">
        <f>IFERROR(VLOOKUP(HR_Employees[[#This Row],[Employee_ID]],'[1]Synthetic Exit Data'!$A$2:$E$235,4,0)," NA")</f>
        <v xml:space="preserve"> NA</v>
      </c>
      <c r="J646" t="s">
        <v>24</v>
      </c>
      <c r="K646">
        <v>2</v>
      </c>
      <c r="L646" s="3">
        <v>23513</v>
      </c>
      <c r="M646" t="s">
        <v>82</v>
      </c>
      <c r="N646" t="s">
        <v>43</v>
      </c>
      <c r="O646">
        <v>0.75</v>
      </c>
      <c r="P646" t="s">
        <v>51</v>
      </c>
      <c r="Q646" t="s">
        <v>28</v>
      </c>
      <c r="R646">
        <v>2026</v>
      </c>
      <c r="S646" t="str">
        <f>IF(AND(HR_Employees[[#This Row],[Attrition]]="YES",HR_Employees[[#This Row],[Exit_Date]]&lt;&gt;""),YEAR(HR_Employees[[#This Row],[Exit_Date]]),"")</f>
        <v/>
      </c>
    </row>
    <row r="647" spans="1:19">
      <c r="A647" t="s">
        <v>1059</v>
      </c>
      <c r="B647" t="s">
        <v>175</v>
      </c>
      <c r="C647">
        <v>35</v>
      </c>
      <c r="D647" t="s">
        <v>31</v>
      </c>
      <c r="E647" t="s">
        <v>21</v>
      </c>
      <c r="F647" t="s">
        <v>47</v>
      </c>
      <c r="G647" t="s">
        <v>33</v>
      </c>
      <c r="H647" s="2">
        <v>44755</v>
      </c>
      <c r="I647" s="2" t="str">
        <f>IFERROR(VLOOKUP(HR_Employees[[#This Row],[Employee_ID]],'[1]Synthetic Exit Data'!$A$2:$E$235,4,0)," NA")</f>
        <v xml:space="preserve"> NA</v>
      </c>
      <c r="J647" t="s">
        <v>24</v>
      </c>
      <c r="K647">
        <v>3</v>
      </c>
      <c r="L647" s="3">
        <v>34141</v>
      </c>
      <c r="M647" t="s">
        <v>42</v>
      </c>
      <c r="N647" t="s">
        <v>50</v>
      </c>
      <c r="O647">
        <v>4.25</v>
      </c>
      <c r="P647" t="s">
        <v>51</v>
      </c>
      <c r="Q647" t="s">
        <v>36</v>
      </c>
      <c r="R647">
        <v>2022</v>
      </c>
      <c r="S647" t="str">
        <f>IF(AND(HR_Employees[[#This Row],[Attrition]]="YES",HR_Employees[[#This Row],[Exit_Date]]&lt;&gt;""),YEAR(HR_Employees[[#This Row],[Exit_Date]]),"")</f>
        <v/>
      </c>
    </row>
    <row r="648" spans="1:19">
      <c r="A648" t="s">
        <v>1060</v>
      </c>
      <c r="B648" t="s">
        <v>499</v>
      </c>
      <c r="C648">
        <v>42</v>
      </c>
      <c r="D648" t="s">
        <v>61</v>
      </c>
      <c r="E648" t="s">
        <v>21</v>
      </c>
      <c r="F648" t="s">
        <v>40</v>
      </c>
      <c r="G648" t="s">
        <v>23</v>
      </c>
      <c r="H648" s="2">
        <v>46247</v>
      </c>
      <c r="I648" s="2" t="str">
        <f>IFERROR(VLOOKUP(HR_Employees[[#This Row],[Employee_ID]],'[1]Synthetic Exit Data'!$A$2:$E$235,4,0)," NA")</f>
        <v xml:space="preserve"> NA</v>
      </c>
      <c r="J648" t="s">
        <v>24</v>
      </c>
      <c r="K648">
        <v>1</v>
      </c>
      <c r="L648" s="3">
        <v>99832</v>
      </c>
      <c r="M648" t="s">
        <v>66</v>
      </c>
      <c r="N648" t="s">
        <v>43</v>
      </c>
      <c r="O648">
        <v>0.17</v>
      </c>
      <c r="P648" t="s">
        <v>35</v>
      </c>
      <c r="Q648" t="s">
        <v>92</v>
      </c>
      <c r="R648">
        <v>2026</v>
      </c>
      <c r="S648" t="str">
        <f>IF(AND(HR_Employees[[#This Row],[Attrition]]="YES",HR_Employees[[#This Row],[Exit_Date]]&lt;&gt;""),YEAR(HR_Employees[[#This Row],[Exit_Date]]),"")</f>
        <v/>
      </c>
    </row>
    <row r="649" spans="1:19">
      <c r="A649" t="s">
        <v>1061</v>
      </c>
      <c r="B649" t="s">
        <v>992</v>
      </c>
      <c r="C649">
        <v>50</v>
      </c>
      <c r="D649" t="s">
        <v>20</v>
      </c>
      <c r="E649" t="s">
        <v>32</v>
      </c>
      <c r="F649" t="s">
        <v>55</v>
      </c>
      <c r="G649" t="s">
        <v>23</v>
      </c>
      <c r="H649" s="2">
        <v>45882</v>
      </c>
      <c r="I649" s="2" t="str">
        <f>IFERROR(VLOOKUP(HR_Employees[[#This Row],[Employee_ID]],'[1]Synthetic Exit Data'!$A$2:$E$235,4,0)," NA")</f>
        <v xml:space="preserve"> NA</v>
      </c>
      <c r="J649" t="s">
        <v>24</v>
      </c>
      <c r="K649">
        <v>4</v>
      </c>
      <c r="L649" s="3">
        <v>74433</v>
      </c>
      <c r="M649" t="s">
        <v>34</v>
      </c>
      <c r="N649" t="s">
        <v>56</v>
      </c>
      <c r="O649">
        <v>1.17</v>
      </c>
      <c r="P649" t="s">
        <v>27</v>
      </c>
      <c r="Q649" t="s">
        <v>58</v>
      </c>
      <c r="R649">
        <v>2025</v>
      </c>
      <c r="S649" t="str">
        <f>IF(AND(HR_Employees[[#This Row],[Attrition]]="YES",HR_Employees[[#This Row],[Exit_Date]]&lt;&gt;""),YEAR(HR_Employees[[#This Row],[Exit_Date]]),"")</f>
        <v/>
      </c>
    </row>
    <row r="650" spans="1:19">
      <c r="A650" t="s">
        <v>1062</v>
      </c>
      <c r="B650" t="s">
        <v>517</v>
      </c>
      <c r="C650">
        <v>21</v>
      </c>
      <c r="D650" t="s">
        <v>39</v>
      </c>
      <c r="E650" t="s">
        <v>32</v>
      </c>
      <c r="F650" t="s">
        <v>73</v>
      </c>
      <c r="G650" t="s">
        <v>48</v>
      </c>
      <c r="H650" s="2">
        <v>44694</v>
      </c>
      <c r="I650" s="2" t="str">
        <f>IFERROR(VLOOKUP(HR_Employees[[#This Row],[Employee_ID]],'[1]Synthetic Exit Data'!$A$2:$E$235,4,0)," NA")</f>
        <v xml:space="preserve"> NA</v>
      </c>
      <c r="J650" t="s">
        <v>24</v>
      </c>
      <c r="K650">
        <v>5</v>
      </c>
      <c r="L650" s="3">
        <v>159993</v>
      </c>
      <c r="M650" t="s">
        <v>25</v>
      </c>
      <c r="N650" t="s">
        <v>50</v>
      </c>
      <c r="O650">
        <v>4.42</v>
      </c>
      <c r="P650" t="s">
        <v>35</v>
      </c>
      <c r="Q650" t="s">
        <v>92</v>
      </c>
      <c r="R650">
        <v>2022</v>
      </c>
      <c r="S650" t="str">
        <f>IF(AND(HR_Employees[[#This Row],[Attrition]]="YES",HR_Employees[[#This Row],[Exit_Date]]&lt;&gt;""),YEAR(HR_Employees[[#This Row],[Exit_Date]]),"")</f>
        <v/>
      </c>
    </row>
    <row r="651" spans="1:19">
      <c r="A651" t="s">
        <v>1063</v>
      </c>
      <c r="B651" t="s">
        <v>446</v>
      </c>
      <c r="C651">
        <v>54</v>
      </c>
      <c r="D651" t="s">
        <v>20</v>
      </c>
      <c r="E651" t="s">
        <v>32</v>
      </c>
      <c r="F651" t="s">
        <v>109</v>
      </c>
      <c r="G651" t="s">
        <v>33</v>
      </c>
      <c r="H651" s="2">
        <v>46278</v>
      </c>
      <c r="I651" s="2" t="str">
        <f>IFERROR(VLOOKUP(HR_Employees[[#This Row],[Employee_ID]],'[1]Synthetic Exit Data'!$A$2:$E$235,4,0)," NA")</f>
        <v xml:space="preserve"> NA</v>
      </c>
      <c r="J651" t="s">
        <v>24</v>
      </c>
      <c r="K651">
        <v>4</v>
      </c>
      <c r="L651" s="3">
        <v>39751</v>
      </c>
      <c r="M651" t="s">
        <v>42</v>
      </c>
      <c r="N651" t="s">
        <v>43</v>
      </c>
      <c r="O651">
        <v>0.08</v>
      </c>
      <c r="P651" t="s">
        <v>57</v>
      </c>
      <c r="Q651" t="s">
        <v>58</v>
      </c>
      <c r="R651">
        <v>2026</v>
      </c>
      <c r="S651" t="str">
        <f>IF(AND(HR_Employees[[#This Row],[Attrition]]="YES",HR_Employees[[#This Row],[Exit_Date]]&lt;&gt;""),YEAR(HR_Employees[[#This Row],[Exit_Date]]),"")</f>
        <v/>
      </c>
    </row>
    <row r="652" spans="1:19">
      <c r="A652" t="s">
        <v>1064</v>
      </c>
      <c r="B652" t="s">
        <v>1065</v>
      </c>
      <c r="C652">
        <v>27</v>
      </c>
      <c r="D652" t="s">
        <v>31</v>
      </c>
      <c r="E652" t="s">
        <v>21</v>
      </c>
      <c r="F652" t="s">
        <v>151</v>
      </c>
      <c r="G652" t="s">
        <v>23</v>
      </c>
      <c r="H652" s="2">
        <v>44998</v>
      </c>
      <c r="I652" s="2" t="str">
        <f>IFERROR(VLOOKUP(HR_Employees[[#This Row],[Employee_ID]],'[1]Synthetic Exit Data'!$A$2:$E$235,4,0)," NA")</f>
        <v xml:space="preserve"> NA</v>
      </c>
      <c r="J652" t="s">
        <v>24</v>
      </c>
      <c r="K652">
        <v>3</v>
      </c>
      <c r="L652" s="3">
        <v>21973</v>
      </c>
      <c r="M652" t="s">
        <v>82</v>
      </c>
      <c r="N652" t="s">
        <v>50</v>
      </c>
      <c r="O652">
        <v>3.58</v>
      </c>
      <c r="P652" t="s">
        <v>27</v>
      </c>
      <c r="Q652" t="s">
        <v>76</v>
      </c>
      <c r="R652">
        <v>2023</v>
      </c>
      <c r="S652" t="str">
        <f>IF(AND(HR_Employees[[#This Row],[Attrition]]="YES",HR_Employees[[#This Row],[Exit_Date]]&lt;&gt;""),YEAR(HR_Employees[[#This Row],[Exit_Date]]),"")</f>
        <v/>
      </c>
    </row>
    <row r="653" spans="1:19">
      <c r="A653" t="s">
        <v>1066</v>
      </c>
      <c r="B653" t="s">
        <v>545</v>
      </c>
      <c r="C653">
        <v>32</v>
      </c>
      <c r="D653" t="s">
        <v>31</v>
      </c>
      <c r="E653" t="s">
        <v>21</v>
      </c>
      <c r="F653" t="s">
        <v>151</v>
      </c>
      <c r="G653" t="s">
        <v>41</v>
      </c>
      <c r="H653" s="2">
        <v>43874</v>
      </c>
      <c r="I653" s="2" t="str">
        <f>IFERROR(VLOOKUP(HR_Employees[[#This Row],[Employee_ID]],'[1]Synthetic Exit Data'!$A$2:$E$235,4,0)," NA")</f>
        <v xml:space="preserve"> NA</v>
      </c>
      <c r="J653" t="s">
        <v>24</v>
      </c>
      <c r="K653">
        <v>1</v>
      </c>
      <c r="L653" s="3">
        <v>49875</v>
      </c>
      <c r="M653" t="s">
        <v>42</v>
      </c>
      <c r="N653" t="s">
        <v>79</v>
      </c>
      <c r="O653">
        <v>6.67</v>
      </c>
      <c r="P653" t="s">
        <v>51</v>
      </c>
      <c r="Q653" t="s">
        <v>92</v>
      </c>
      <c r="R653">
        <v>2020</v>
      </c>
      <c r="S653" t="str">
        <f>IF(AND(HR_Employees[[#This Row],[Attrition]]="YES",HR_Employees[[#This Row],[Exit_Date]]&lt;&gt;""),YEAR(HR_Employees[[#This Row],[Exit_Date]]),"")</f>
        <v/>
      </c>
    </row>
    <row r="654" spans="1:19">
      <c r="A654" t="s">
        <v>1067</v>
      </c>
      <c r="B654" t="s">
        <v>1068</v>
      </c>
      <c r="C654">
        <v>21</v>
      </c>
      <c r="D654" t="s">
        <v>39</v>
      </c>
      <c r="E654" t="s">
        <v>21</v>
      </c>
      <c r="F654" t="s">
        <v>55</v>
      </c>
      <c r="G654" t="s">
        <v>33</v>
      </c>
      <c r="H654" s="2">
        <v>44583</v>
      </c>
      <c r="I654" s="2" t="str">
        <f>IFERROR(VLOOKUP(HR_Employees[[#This Row],[Employee_ID]],'[1]Synthetic Exit Data'!$A$2:$E$235,4,0)," NA")</f>
        <v>2022-05-23</v>
      </c>
      <c r="J654" t="s">
        <v>49</v>
      </c>
      <c r="K654">
        <v>3</v>
      </c>
      <c r="L654" s="3">
        <v>81044</v>
      </c>
      <c r="M654" t="s">
        <v>66</v>
      </c>
      <c r="N654" t="s">
        <v>50</v>
      </c>
      <c r="O654">
        <v>4.67</v>
      </c>
      <c r="P654" t="s">
        <v>57</v>
      </c>
      <c r="Q654" t="s">
        <v>92</v>
      </c>
      <c r="R654">
        <v>2022</v>
      </c>
      <c r="S654">
        <f>IF(AND(HR_Employees[[#This Row],[Attrition]]="YES",HR_Employees[[#This Row],[Exit_Date]]&lt;&gt;""),YEAR(HR_Employees[[#This Row],[Exit_Date]]),"")</f>
        <v>2022</v>
      </c>
    </row>
    <row r="655" spans="1:19">
      <c r="A655" t="s">
        <v>1069</v>
      </c>
      <c r="B655" t="s">
        <v>1070</v>
      </c>
      <c r="C655">
        <v>47</v>
      </c>
      <c r="D655" t="s">
        <v>20</v>
      </c>
      <c r="E655" t="s">
        <v>21</v>
      </c>
      <c r="F655" t="s">
        <v>65</v>
      </c>
      <c r="G655" t="s">
        <v>48</v>
      </c>
      <c r="H655" s="2">
        <v>44329</v>
      </c>
      <c r="I655" s="2" t="str">
        <f>IFERROR(VLOOKUP(HR_Employees[[#This Row],[Employee_ID]],'[1]Synthetic Exit Data'!$A$2:$E$235,4,0)," NA")</f>
        <v xml:space="preserve"> NA</v>
      </c>
      <c r="J655" t="s">
        <v>24</v>
      </c>
      <c r="K655">
        <v>4</v>
      </c>
      <c r="L655" s="3">
        <v>30627</v>
      </c>
      <c r="M655" t="s">
        <v>42</v>
      </c>
      <c r="N655" t="s">
        <v>79</v>
      </c>
      <c r="O655">
        <v>5.42</v>
      </c>
      <c r="P655" t="s">
        <v>35</v>
      </c>
      <c r="Q655" t="s">
        <v>62</v>
      </c>
      <c r="R655">
        <v>2021</v>
      </c>
      <c r="S655" t="str">
        <f>IF(AND(HR_Employees[[#This Row],[Attrition]]="YES",HR_Employees[[#This Row],[Exit_Date]]&lt;&gt;""),YEAR(HR_Employees[[#This Row],[Exit_Date]]),"")</f>
        <v/>
      </c>
    </row>
    <row r="656" spans="1:19">
      <c r="A656" t="s">
        <v>1071</v>
      </c>
      <c r="B656" t="s">
        <v>1008</v>
      </c>
      <c r="C656">
        <v>36</v>
      </c>
      <c r="D656" t="s">
        <v>61</v>
      </c>
      <c r="E656" t="s">
        <v>21</v>
      </c>
      <c r="F656" t="s">
        <v>109</v>
      </c>
      <c r="G656" t="s">
        <v>23</v>
      </c>
      <c r="H656" s="2">
        <v>46035</v>
      </c>
      <c r="I656" s="2" t="str">
        <f>IFERROR(VLOOKUP(HR_Employees[[#This Row],[Employee_ID]],'[1]Synthetic Exit Data'!$A$2:$E$235,4,0)," NA")</f>
        <v xml:space="preserve"> NA</v>
      </c>
      <c r="J656" t="s">
        <v>24</v>
      </c>
      <c r="K656">
        <v>3</v>
      </c>
      <c r="L656" s="3">
        <v>31615</v>
      </c>
      <c r="M656" t="s">
        <v>42</v>
      </c>
      <c r="N656" t="s">
        <v>43</v>
      </c>
      <c r="O656">
        <v>0.75</v>
      </c>
      <c r="P656" t="s">
        <v>57</v>
      </c>
      <c r="Q656" t="s">
        <v>62</v>
      </c>
      <c r="R656">
        <v>2026</v>
      </c>
      <c r="S656" t="str">
        <f>IF(AND(HR_Employees[[#This Row],[Attrition]]="YES",HR_Employees[[#This Row],[Exit_Date]]&lt;&gt;""),YEAR(HR_Employees[[#This Row],[Exit_Date]]),"")</f>
        <v/>
      </c>
    </row>
    <row r="657" spans="1:19">
      <c r="A657" t="s">
        <v>1072</v>
      </c>
      <c r="B657" t="s">
        <v>936</v>
      </c>
      <c r="C657">
        <v>21</v>
      </c>
      <c r="D657" t="s">
        <v>39</v>
      </c>
      <c r="E657" t="s">
        <v>21</v>
      </c>
      <c r="F657" t="s">
        <v>109</v>
      </c>
      <c r="G657" t="s">
        <v>23</v>
      </c>
      <c r="H657" s="2">
        <v>45790</v>
      </c>
      <c r="I657" s="2" t="str">
        <f>IFERROR(VLOOKUP(HR_Employees[[#This Row],[Employee_ID]],'[1]Synthetic Exit Data'!$A$2:$E$235,4,0)," NA")</f>
        <v xml:space="preserve"> NA</v>
      </c>
      <c r="J657" t="s">
        <v>24</v>
      </c>
      <c r="K657">
        <v>3</v>
      </c>
      <c r="L657" s="3">
        <v>81182</v>
      </c>
      <c r="M657" t="s">
        <v>66</v>
      </c>
      <c r="N657" t="s">
        <v>56</v>
      </c>
      <c r="O657">
        <v>1.42</v>
      </c>
      <c r="P657" t="s">
        <v>51</v>
      </c>
      <c r="Q657" t="s">
        <v>62</v>
      </c>
      <c r="R657">
        <v>2025</v>
      </c>
      <c r="S657" t="str">
        <f>IF(AND(HR_Employees[[#This Row],[Attrition]]="YES",HR_Employees[[#This Row],[Exit_Date]]&lt;&gt;""),YEAR(HR_Employees[[#This Row],[Exit_Date]]),"")</f>
        <v/>
      </c>
    </row>
    <row r="658" spans="1:19">
      <c r="A658" t="s">
        <v>1073</v>
      </c>
      <c r="B658" t="s">
        <v>650</v>
      </c>
      <c r="C658">
        <v>25</v>
      </c>
      <c r="D658" t="s">
        <v>39</v>
      </c>
      <c r="E658" t="s">
        <v>21</v>
      </c>
      <c r="F658" t="s">
        <v>47</v>
      </c>
      <c r="G658" t="s">
        <v>23</v>
      </c>
      <c r="H658" s="2">
        <v>44664</v>
      </c>
      <c r="I658" s="2" t="str">
        <f>IFERROR(VLOOKUP(HR_Employees[[#This Row],[Employee_ID]],'[1]Synthetic Exit Data'!$A$2:$E$235,4,0)," NA")</f>
        <v xml:space="preserve"> NA</v>
      </c>
      <c r="J658" t="s">
        <v>24</v>
      </c>
      <c r="K658">
        <v>2</v>
      </c>
      <c r="L658" s="3">
        <v>48812</v>
      </c>
      <c r="M658" t="s">
        <v>42</v>
      </c>
      <c r="N658" t="s">
        <v>50</v>
      </c>
      <c r="O658">
        <v>4.5</v>
      </c>
      <c r="P658" t="s">
        <v>35</v>
      </c>
      <c r="Q658" t="s">
        <v>36</v>
      </c>
      <c r="R658">
        <v>2022</v>
      </c>
      <c r="S658" t="str">
        <f>IF(AND(HR_Employees[[#This Row],[Attrition]]="YES",HR_Employees[[#This Row],[Exit_Date]]&lt;&gt;""),YEAR(HR_Employees[[#This Row],[Exit_Date]]),"")</f>
        <v/>
      </c>
    </row>
    <row r="659" spans="1:19">
      <c r="A659" t="s">
        <v>1074</v>
      </c>
      <c r="B659" t="s">
        <v>1005</v>
      </c>
      <c r="C659">
        <v>22</v>
      </c>
      <c r="D659" t="s">
        <v>39</v>
      </c>
      <c r="E659" t="s">
        <v>21</v>
      </c>
      <c r="F659" t="s">
        <v>22</v>
      </c>
      <c r="G659" t="s">
        <v>23</v>
      </c>
      <c r="H659" s="2">
        <v>42198</v>
      </c>
      <c r="I659" s="2" t="str">
        <f>IFERROR(VLOOKUP(HR_Employees[[#This Row],[Employee_ID]],'[1]Synthetic Exit Data'!$A$2:$E$235,4,0)," NA")</f>
        <v xml:space="preserve"> NA</v>
      </c>
      <c r="J659" t="s">
        <v>24</v>
      </c>
      <c r="K659">
        <v>3</v>
      </c>
      <c r="L659" s="3">
        <v>69204</v>
      </c>
      <c r="M659" t="s">
        <v>34</v>
      </c>
      <c r="N659" t="s">
        <v>26</v>
      </c>
      <c r="O659">
        <v>11.25</v>
      </c>
      <c r="P659" t="s">
        <v>57</v>
      </c>
      <c r="Q659" t="s">
        <v>62</v>
      </c>
      <c r="R659">
        <v>2015</v>
      </c>
      <c r="S659" t="str">
        <f>IF(AND(HR_Employees[[#This Row],[Attrition]]="YES",HR_Employees[[#This Row],[Exit_Date]]&lt;&gt;""),YEAR(HR_Employees[[#This Row],[Exit_Date]]),"")</f>
        <v/>
      </c>
    </row>
    <row r="660" spans="1:19">
      <c r="A660" t="s">
        <v>1075</v>
      </c>
      <c r="B660" t="s">
        <v>479</v>
      </c>
      <c r="C660">
        <v>26</v>
      </c>
      <c r="D660" t="s">
        <v>31</v>
      </c>
      <c r="E660" t="s">
        <v>32</v>
      </c>
      <c r="F660" t="s">
        <v>55</v>
      </c>
      <c r="G660" t="s">
        <v>23</v>
      </c>
      <c r="H660" s="2">
        <v>46247</v>
      </c>
      <c r="I660" s="2" t="str">
        <f>IFERROR(VLOOKUP(HR_Employees[[#This Row],[Employee_ID]],'[1]Synthetic Exit Data'!$A$2:$E$235,4,0)," NA")</f>
        <v xml:space="preserve"> NA</v>
      </c>
      <c r="J660" t="s">
        <v>24</v>
      </c>
      <c r="K660">
        <v>4</v>
      </c>
      <c r="L660" s="3">
        <v>19024</v>
      </c>
      <c r="M660" t="s">
        <v>82</v>
      </c>
      <c r="N660" t="s">
        <v>43</v>
      </c>
      <c r="O660">
        <v>0.17</v>
      </c>
      <c r="P660" t="s">
        <v>27</v>
      </c>
      <c r="Q660" t="s">
        <v>76</v>
      </c>
      <c r="R660">
        <v>2026</v>
      </c>
      <c r="S660" t="str">
        <f>IF(AND(HR_Employees[[#This Row],[Attrition]]="YES",HR_Employees[[#This Row],[Exit_Date]]&lt;&gt;""),YEAR(HR_Employees[[#This Row],[Exit_Date]]),"")</f>
        <v/>
      </c>
    </row>
    <row r="661" spans="1:19">
      <c r="A661" t="s">
        <v>1076</v>
      </c>
      <c r="B661" t="s">
        <v>972</v>
      </c>
      <c r="C661">
        <v>42</v>
      </c>
      <c r="D661" t="s">
        <v>61</v>
      </c>
      <c r="E661" t="s">
        <v>21</v>
      </c>
      <c r="F661" t="s">
        <v>151</v>
      </c>
      <c r="G661" t="s">
        <v>33</v>
      </c>
      <c r="H661" s="2">
        <v>46119</v>
      </c>
      <c r="I661" s="2" t="str">
        <f>IFERROR(VLOOKUP(HR_Employees[[#This Row],[Employee_ID]],'[1]Synthetic Exit Data'!$A$2:$E$235,4,0)," NA")</f>
        <v>2026-05-09</v>
      </c>
      <c r="J661" t="s">
        <v>49</v>
      </c>
      <c r="K661">
        <v>3</v>
      </c>
      <c r="L661" s="3">
        <v>35830</v>
      </c>
      <c r="M661" t="s">
        <v>42</v>
      </c>
      <c r="N661" t="s">
        <v>43</v>
      </c>
      <c r="O661">
        <v>0.5</v>
      </c>
      <c r="P661" t="s">
        <v>35</v>
      </c>
      <c r="Q661" t="s">
        <v>44</v>
      </c>
      <c r="R661">
        <v>2026</v>
      </c>
      <c r="S661">
        <f>IF(AND(HR_Employees[[#This Row],[Attrition]]="YES",HR_Employees[[#This Row],[Exit_Date]]&lt;&gt;""),YEAR(HR_Employees[[#This Row],[Exit_Date]]),"")</f>
        <v>2026</v>
      </c>
    </row>
    <row r="662" spans="1:19">
      <c r="A662" t="s">
        <v>1077</v>
      </c>
      <c r="B662" t="s">
        <v>482</v>
      </c>
      <c r="C662">
        <v>51</v>
      </c>
      <c r="D662" t="s">
        <v>20</v>
      </c>
      <c r="E662" t="s">
        <v>32</v>
      </c>
      <c r="F662" t="s">
        <v>47</v>
      </c>
      <c r="G662" t="s">
        <v>23</v>
      </c>
      <c r="H662" s="2">
        <v>44755</v>
      </c>
      <c r="I662" s="2" t="str">
        <f>IFERROR(VLOOKUP(HR_Employees[[#This Row],[Employee_ID]],'[1]Synthetic Exit Data'!$A$2:$E$235,4,0)," NA")</f>
        <v xml:space="preserve"> NA</v>
      </c>
      <c r="J662" t="s">
        <v>24</v>
      </c>
      <c r="K662">
        <v>5</v>
      </c>
      <c r="L662" s="3">
        <v>40594</v>
      </c>
      <c r="M662" t="s">
        <v>42</v>
      </c>
      <c r="N662" t="s">
        <v>50</v>
      </c>
      <c r="O662">
        <v>4.25</v>
      </c>
      <c r="P662" t="s">
        <v>57</v>
      </c>
      <c r="Q662" t="s">
        <v>28</v>
      </c>
      <c r="R662">
        <v>2022</v>
      </c>
      <c r="S662" t="str">
        <f>IF(AND(HR_Employees[[#This Row],[Attrition]]="YES",HR_Employees[[#This Row],[Exit_Date]]&lt;&gt;""),YEAR(HR_Employees[[#This Row],[Exit_Date]]),"")</f>
        <v/>
      </c>
    </row>
    <row r="663" spans="1:19">
      <c r="A663" t="s">
        <v>1078</v>
      </c>
      <c r="B663" t="s">
        <v>676</v>
      </c>
      <c r="C663">
        <v>39</v>
      </c>
      <c r="D663" t="s">
        <v>61</v>
      </c>
      <c r="E663" t="s">
        <v>32</v>
      </c>
      <c r="F663" t="s">
        <v>47</v>
      </c>
      <c r="G663" t="s">
        <v>23</v>
      </c>
      <c r="H663" s="2">
        <v>42991</v>
      </c>
      <c r="I663" s="2" t="str">
        <f>IFERROR(VLOOKUP(HR_Employees[[#This Row],[Employee_ID]],'[1]Synthetic Exit Data'!$A$2:$E$235,4,0)," NA")</f>
        <v xml:space="preserve"> NA</v>
      </c>
      <c r="J663" t="s">
        <v>24</v>
      </c>
      <c r="K663">
        <v>3</v>
      </c>
      <c r="L663" s="3">
        <v>61364</v>
      </c>
      <c r="M663" t="s">
        <v>34</v>
      </c>
      <c r="N663" t="s">
        <v>79</v>
      </c>
      <c r="O663">
        <v>9.08</v>
      </c>
      <c r="P663" t="s">
        <v>27</v>
      </c>
      <c r="Q663" t="s">
        <v>86</v>
      </c>
      <c r="R663">
        <v>2017</v>
      </c>
      <c r="S663" t="str">
        <f>IF(AND(HR_Employees[[#This Row],[Attrition]]="YES",HR_Employees[[#This Row],[Exit_Date]]&lt;&gt;""),YEAR(HR_Employees[[#This Row],[Exit_Date]]),"")</f>
        <v/>
      </c>
    </row>
    <row r="664" spans="1:19">
      <c r="A664" t="s">
        <v>1079</v>
      </c>
      <c r="B664" t="s">
        <v>1080</v>
      </c>
      <c r="C664">
        <v>35</v>
      </c>
      <c r="D664" t="s">
        <v>31</v>
      </c>
      <c r="E664" t="s">
        <v>32</v>
      </c>
      <c r="F664" t="s">
        <v>55</v>
      </c>
      <c r="G664" t="s">
        <v>33</v>
      </c>
      <c r="H664" s="2">
        <v>44202</v>
      </c>
      <c r="I664" s="2" t="str">
        <f>IFERROR(VLOOKUP(HR_Employees[[#This Row],[Employee_ID]],'[1]Synthetic Exit Data'!$A$2:$E$235,4,0)," NA")</f>
        <v>2021-10-09</v>
      </c>
      <c r="J664" t="s">
        <v>49</v>
      </c>
      <c r="K664">
        <v>2</v>
      </c>
      <c r="L664" s="3">
        <v>63303</v>
      </c>
      <c r="M664" t="s">
        <v>34</v>
      </c>
      <c r="N664" t="s">
        <v>79</v>
      </c>
      <c r="O664">
        <v>5.67</v>
      </c>
      <c r="P664" t="s">
        <v>27</v>
      </c>
      <c r="Q664" t="s">
        <v>36</v>
      </c>
      <c r="R664">
        <v>2021</v>
      </c>
      <c r="S664">
        <f>IF(AND(HR_Employees[[#This Row],[Attrition]]="YES",HR_Employees[[#This Row],[Exit_Date]]&lt;&gt;""),YEAR(HR_Employees[[#This Row],[Exit_Date]]),"")</f>
        <v>2021</v>
      </c>
    </row>
    <row r="665" spans="1:19">
      <c r="A665" t="s">
        <v>1081</v>
      </c>
      <c r="B665" t="s">
        <v>804</v>
      </c>
      <c r="C665">
        <v>28</v>
      </c>
      <c r="D665" t="s">
        <v>31</v>
      </c>
      <c r="E665" t="s">
        <v>21</v>
      </c>
      <c r="F665" t="s">
        <v>47</v>
      </c>
      <c r="G665" t="s">
        <v>114</v>
      </c>
      <c r="H665" s="2">
        <v>45639</v>
      </c>
      <c r="I665" s="2" t="str">
        <f>IFERROR(VLOOKUP(HR_Employees[[#This Row],[Employee_ID]],'[1]Synthetic Exit Data'!$A$2:$E$235,4,0)," NA")</f>
        <v xml:space="preserve"> NA</v>
      </c>
      <c r="J665" t="s">
        <v>24</v>
      </c>
      <c r="K665">
        <v>3</v>
      </c>
      <c r="L665" s="3">
        <v>62730</v>
      </c>
      <c r="M665" t="s">
        <v>34</v>
      </c>
      <c r="N665" t="s">
        <v>56</v>
      </c>
      <c r="O665">
        <v>1.83</v>
      </c>
      <c r="P665" t="s">
        <v>27</v>
      </c>
      <c r="Q665" t="s">
        <v>28</v>
      </c>
      <c r="R665">
        <v>2024</v>
      </c>
      <c r="S665" t="str">
        <f>IF(AND(HR_Employees[[#This Row],[Attrition]]="YES",HR_Employees[[#This Row],[Exit_Date]]&lt;&gt;""),YEAR(HR_Employees[[#This Row],[Exit_Date]]),"")</f>
        <v/>
      </c>
    </row>
    <row r="666" spans="1:19">
      <c r="A666" t="s">
        <v>1082</v>
      </c>
      <c r="B666" t="s">
        <v>142</v>
      </c>
      <c r="C666">
        <v>33</v>
      </c>
      <c r="D666" t="s">
        <v>31</v>
      </c>
      <c r="E666" t="s">
        <v>21</v>
      </c>
      <c r="F666" t="s">
        <v>55</v>
      </c>
      <c r="G666" t="s">
        <v>23</v>
      </c>
      <c r="H666" s="2">
        <v>45729</v>
      </c>
      <c r="I666" s="2" t="str">
        <f>IFERROR(VLOOKUP(HR_Employees[[#This Row],[Employee_ID]],'[1]Synthetic Exit Data'!$A$2:$E$235,4,0)," NA")</f>
        <v xml:space="preserve"> NA</v>
      </c>
      <c r="J666" t="s">
        <v>24</v>
      </c>
      <c r="K666">
        <v>4</v>
      </c>
      <c r="L666" s="3">
        <v>57357</v>
      </c>
      <c r="M666" t="s">
        <v>34</v>
      </c>
      <c r="N666" t="s">
        <v>56</v>
      </c>
      <c r="O666">
        <v>1.58</v>
      </c>
      <c r="P666" t="s">
        <v>51</v>
      </c>
      <c r="Q666" t="s">
        <v>86</v>
      </c>
      <c r="R666">
        <v>2025</v>
      </c>
      <c r="S666" t="str">
        <f>IF(AND(HR_Employees[[#This Row],[Attrition]]="YES",HR_Employees[[#This Row],[Exit_Date]]&lt;&gt;""),YEAR(HR_Employees[[#This Row],[Exit_Date]]),"")</f>
        <v/>
      </c>
    </row>
    <row r="667" spans="1:19">
      <c r="A667" t="s">
        <v>1083</v>
      </c>
      <c r="B667" t="s">
        <v>1029</v>
      </c>
      <c r="C667">
        <v>29</v>
      </c>
      <c r="D667" t="s">
        <v>31</v>
      </c>
      <c r="E667" t="s">
        <v>32</v>
      </c>
      <c r="F667" t="s">
        <v>109</v>
      </c>
      <c r="G667" t="s">
        <v>23</v>
      </c>
      <c r="H667" s="2">
        <v>46066</v>
      </c>
      <c r="I667" s="2" t="str">
        <f>IFERROR(VLOOKUP(HR_Employees[[#This Row],[Employee_ID]],'[1]Synthetic Exit Data'!$A$2:$E$235,4,0)," NA")</f>
        <v xml:space="preserve"> NA</v>
      </c>
      <c r="J667" t="s">
        <v>24</v>
      </c>
      <c r="K667">
        <v>1</v>
      </c>
      <c r="L667" s="3">
        <v>81946</v>
      </c>
      <c r="M667" t="s">
        <v>66</v>
      </c>
      <c r="N667" t="s">
        <v>43</v>
      </c>
      <c r="O667">
        <v>0.67</v>
      </c>
      <c r="P667" t="s">
        <v>125</v>
      </c>
      <c r="Q667" t="s">
        <v>44</v>
      </c>
      <c r="R667">
        <v>2026</v>
      </c>
      <c r="S667" t="str">
        <f>IF(AND(HR_Employees[[#This Row],[Attrition]]="YES",HR_Employees[[#This Row],[Exit_Date]]&lt;&gt;""),YEAR(HR_Employees[[#This Row],[Exit_Date]]),"")</f>
        <v/>
      </c>
    </row>
    <row r="668" spans="1:19">
      <c r="A668" t="s">
        <v>1084</v>
      </c>
      <c r="B668" t="s">
        <v>673</v>
      </c>
      <c r="C668">
        <v>25</v>
      </c>
      <c r="D668" t="s">
        <v>39</v>
      </c>
      <c r="E668" t="s">
        <v>21</v>
      </c>
      <c r="F668" t="s">
        <v>47</v>
      </c>
      <c r="G668" t="s">
        <v>23</v>
      </c>
      <c r="H668" s="2">
        <v>42779</v>
      </c>
      <c r="I668" s="2" t="str">
        <f>IFERROR(VLOOKUP(HR_Employees[[#This Row],[Employee_ID]],'[1]Synthetic Exit Data'!$A$2:$E$235,4,0)," NA")</f>
        <v>2017-04-30</v>
      </c>
      <c r="J668" t="s">
        <v>49</v>
      </c>
      <c r="K668">
        <v>4</v>
      </c>
      <c r="L668" s="3">
        <v>148544</v>
      </c>
      <c r="M668" t="s">
        <v>25</v>
      </c>
      <c r="N668" t="s">
        <v>79</v>
      </c>
      <c r="O668">
        <v>9.58</v>
      </c>
      <c r="P668" t="s">
        <v>57</v>
      </c>
      <c r="Q668" t="s">
        <v>58</v>
      </c>
      <c r="R668">
        <v>2017</v>
      </c>
      <c r="S668">
        <f>IF(AND(HR_Employees[[#This Row],[Attrition]]="YES",HR_Employees[[#This Row],[Exit_Date]]&lt;&gt;""),YEAR(HR_Employees[[#This Row],[Exit_Date]]),"")</f>
        <v>2017</v>
      </c>
    </row>
    <row r="669" spans="1:19">
      <c r="A669" t="s">
        <v>1085</v>
      </c>
      <c r="B669" t="s">
        <v>692</v>
      </c>
      <c r="C669">
        <v>40</v>
      </c>
      <c r="D669" t="s">
        <v>61</v>
      </c>
      <c r="E669" t="s">
        <v>32</v>
      </c>
      <c r="F669" t="s">
        <v>40</v>
      </c>
      <c r="G669" t="s">
        <v>23</v>
      </c>
      <c r="H669" s="2">
        <v>41591</v>
      </c>
      <c r="I669" s="2" t="str">
        <f>IFERROR(VLOOKUP(HR_Employees[[#This Row],[Employee_ID]],'[1]Synthetic Exit Data'!$A$2:$E$235,4,0)," NA")</f>
        <v xml:space="preserve"> NA</v>
      </c>
      <c r="J669" t="s">
        <v>24</v>
      </c>
      <c r="K669">
        <v>3</v>
      </c>
      <c r="L669" s="3">
        <v>89233</v>
      </c>
      <c r="M669" t="s">
        <v>66</v>
      </c>
      <c r="N669" t="s">
        <v>26</v>
      </c>
      <c r="O669">
        <v>12.92</v>
      </c>
      <c r="P669" t="s">
        <v>51</v>
      </c>
      <c r="Q669" t="s">
        <v>58</v>
      </c>
      <c r="R669">
        <v>2013</v>
      </c>
      <c r="S669" t="str">
        <f>IF(AND(HR_Employees[[#This Row],[Attrition]]="YES",HR_Employees[[#This Row],[Exit_Date]]&lt;&gt;""),YEAR(HR_Employees[[#This Row],[Exit_Date]]),"")</f>
        <v/>
      </c>
    </row>
    <row r="670" spans="1:19">
      <c r="A670" t="s">
        <v>1086</v>
      </c>
      <c r="B670" t="s">
        <v>311</v>
      </c>
      <c r="C670">
        <v>38</v>
      </c>
      <c r="D670" t="s">
        <v>61</v>
      </c>
      <c r="E670" t="s">
        <v>21</v>
      </c>
      <c r="F670" t="s">
        <v>73</v>
      </c>
      <c r="G670" t="s">
        <v>48</v>
      </c>
      <c r="H670" s="2">
        <v>46125</v>
      </c>
      <c r="I670" s="2" t="str">
        <f>IFERROR(VLOOKUP(HR_Employees[[#This Row],[Employee_ID]],'[1]Synthetic Exit Data'!$A$2:$E$235,4,0)," NA")</f>
        <v xml:space="preserve"> NA</v>
      </c>
      <c r="J670" t="s">
        <v>24</v>
      </c>
      <c r="K670">
        <v>4</v>
      </c>
      <c r="L670" s="3">
        <v>56139</v>
      </c>
      <c r="M670" t="s">
        <v>34</v>
      </c>
      <c r="N670" t="s">
        <v>43</v>
      </c>
      <c r="O670">
        <v>0.5</v>
      </c>
      <c r="P670" t="s">
        <v>27</v>
      </c>
      <c r="Q670" t="s">
        <v>58</v>
      </c>
      <c r="R670">
        <v>2026</v>
      </c>
      <c r="S670" t="str">
        <f>IF(AND(HR_Employees[[#This Row],[Attrition]]="YES",HR_Employees[[#This Row],[Exit_Date]]&lt;&gt;""),YEAR(HR_Employees[[#This Row],[Exit_Date]]),"")</f>
        <v/>
      </c>
    </row>
    <row r="671" spans="1:19">
      <c r="A671" t="s">
        <v>1087</v>
      </c>
      <c r="B671" t="s">
        <v>1032</v>
      </c>
      <c r="C671">
        <v>40</v>
      </c>
      <c r="D671" t="s">
        <v>61</v>
      </c>
      <c r="E671" t="s">
        <v>21</v>
      </c>
      <c r="F671" t="s">
        <v>47</v>
      </c>
      <c r="G671" t="s">
        <v>41</v>
      </c>
      <c r="H671" s="2">
        <v>42626</v>
      </c>
      <c r="I671" s="2" t="str">
        <f>IFERROR(VLOOKUP(HR_Employees[[#This Row],[Employee_ID]],'[1]Synthetic Exit Data'!$A$2:$E$235,4,0)," NA")</f>
        <v xml:space="preserve"> NA</v>
      </c>
      <c r="J671" t="s">
        <v>24</v>
      </c>
      <c r="K671">
        <v>3</v>
      </c>
      <c r="L671" s="3">
        <v>22356</v>
      </c>
      <c r="M671" t="s">
        <v>82</v>
      </c>
      <c r="N671" t="s">
        <v>26</v>
      </c>
      <c r="O671">
        <v>10.08</v>
      </c>
      <c r="P671" t="s">
        <v>35</v>
      </c>
      <c r="Q671" t="s">
        <v>44</v>
      </c>
      <c r="R671">
        <v>2016</v>
      </c>
      <c r="S671" t="str">
        <f>IF(AND(HR_Employees[[#This Row],[Attrition]]="YES",HR_Employees[[#This Row],[Exit_Date]]&lt;&gt;""),YEAR(HR_Employees[[#This Row],[Exit_Date]]),"")</f>
        <v/>
      </c>
    </row>
    <row r="672" spans="1:19">
      <c r="A672" t="s">
        <v>1088</v>
      </c>
      <c r="B672" t="s">
        <v>1089</v>
      </c>
      <c r="C672">
        <v>26</v>
      </c>
      <c r="D672" t="s">
        <v>31</v>
      </c>
      <c r="E672" t="s">
        <v>21</v>
      </c>
      <c r="F672" t="s">
        <v>73</v>
      </c>
      <c r="G672" t="s">
        <v>48</v>
      </c>
      <c r="H672" s="2">
        <v>46127</v>
      </c>
      <c r="I672" s="2" t="str">
        <f>IFERROR(VLOOKUP(HR_Employees[[#This Row],[Employee_ID]],'[1]Synthetic Exit Data'!$A$2:$E$235,4,0)," NA")</f>
        <v>2026-05-15</v>
      </c>
      <c r="J672" t="s">
        <v>49</v>
      </c>
      <c r="K672">
        <v>3</v>
      </c>
      <c r="L672" s="3">
        <v>35246</v>
      </c>
      <c r="M672" t="s">
        <v>42</v>
      </c>
      <c r="N672" t="s">
        <v>43</v>
      </c>
      <c r="O672">
        <v>0.42</v>
      </c>
      <c r="P672" t="s">
        <v>35</v>
      </c>
      <c r="Q672" t="s">
        <v>62</v>
      </c>
      <c r="R672">
        <v>2026</v>
      </c>
      <c r="S672">
        <f>IF(AND(HR_Employees[[#This Row],[Attrition]]="YES",HR_Employees[[#This Row],[Exit_Date]]&lt;&gt;""),YEAR(HR_Employees[[#This Row],[Exit_Date]]),"")</f>
        <v>2026</v>
      </c>
    </row>
    <row r="673" spans="1:19">
      <c r="A673" t="s">
        <v>1090</v>
      </c>
      <c r="B673" t="s">
        <v>1091</v>
      </c>
      <c r="C673">
        <v>24</v>
      </c>
      <c r="D673" t="s">
        <v>39</v>
      </c>
      <c r="E673" t="s">
        <v>21</v>
      </c>
      <c r="F673" t="s">
        <v>55</v>
      </c>
      <c r="G673" t="s">
        <v>33</v>
      </c>
      <c r="H673" s="2">
        <v>45273</v>
      </c>
      <c r="I673" s="2" t="str">
        <f>IFERROR(VLOOKUP(HR_Employees[[#This Row],[Employee_ID]],'[1]Synthetic Exit Data'!$A$2:$E$235,4,0)," NA")</f>
        <v xml:space="preserve"> NA</v>
      </c>
      <c r="J673" t="s">
        <v>24</v>
      </c>
      <c r="K673">
        <v>3</v>
      </c>
      <c r="L673" s="3">
        <v>67595</v>
      </c>
      <c r="M673" t="s">
        <v>34</v>
      </c>
      <c r="N673" t="s">
        <v>56</v>
      </c>
      <c r="O673">
        <v>2.83</v>
      </c>
      <c r="P673" t="s">
        <v>57</v>
      </c>
      <c r="Q673" t="s">
        <v>36</v>
      </c>
      <c r="R673">
        <v>2023</v>
      </c>
      <c r="S673" t="str">
        <f>IF(AND(HR_Employees[[#This Row],[Attrition]]="YES",HR_Employees[[#This Row],[Exit_Date]]&lt;&gt;""),YEAR(HR_Employees[[#This Row],[Exit_Date]]),"")</f>
        <v/>
      </c>
    </row>
    <row r="674" spans="1:19">
      <c r="A674" t="s">
        <v>1092</v>
      </c>
      <c r="B674" t="s">
        <v>1093</v>
      </c>
      <c r="C674">
        <v>23</v>
      </c>
      <c r="D674" t="s">
        <v>39</v>
      </c>
      <c r="E674" t="s">
        <v>32</v>
      </c>
      <c r="F674" t="s">
        <v>47</v>
      </c>
      <c r="G674" t="s">
        <v>33</v>
      </c>
      <c r="H674" s="2">
        <v>45243</v>
      </c>
      <c r="I674" s="2" t="str">
        <f>IFERROR(VLOOKUP(HR_Employees[[#This Row],[Employee_ID]],'[1]Synthetic Exit Data'!$A$2:$E$235,4,0)," NA")</f>
        <v xml:space="preserve"> NA</v>
      </c>
      <c r="J674" t="s">
        <v>24</v>
      </c>
      <c r="K674">
        <v>5</v>
      </c>
      <c r="L674" s="3">
        <v>98868</v>
      </c>
      <c r="M674" t="s">
        <v>66</v>
      </c>
      <c r="N674" t="s">
        <v>56</v>
      </c>
      <c r="O674">
        <v>2.92</v>
      </c>
      <c r="P674" t="s">
        <v>57</v>
      </c>
      <c r="Q674" t="s">
        <v>76</v>
      </c>
      <c r="R674">
        <v>2023</v>
      </c>
      <c r="S674" t="str">
        <f>IF(AND(HR_Employees[[#This Row],[Attrition]]="YES",HR_Employees[[#This Row],[Exit_Date]]&lt;&gt;""),YEAR(HR_Employees[[#This Row],[Exit_Date]]),"")</f>
        <v/>
      </c>
    </row>
    <row r="675" spans="1:19">
      <c r="A675" t="s">
        <v>1094</v>
      </c>
      <c r="B675" t="s">
        <v>269</v>
      </c>
      <c r="C675">
        <v>39</v>
      </c>
      <c r="D675" t="s">
        <v>61</v>
      </c>
      <c r="E675" t="s">
        <v>32</v>
      </c>
      <c r="F675" t="s">
        <v>47</v>
      </c>
      <c r="G675" t="s">
        <v>23</v>
      </c>
      <c r="H675" s="2">
        <v>45923</v>
      </c>
      <c r="I675" s="2" t="str">
        <f>IFERROR(VLOOKUP(HR_Employees[[#This Row],[Employee_ID]],'[1]Synthetic Exit Data'!$A$2:$E$235,4,0)," NA")</f>
        <v>2025-12-19</v>
      </c>
      <c r="J675" t="s">
        <v>49</v>
      </c>
      <c r="K675">
        <v>5</v>
      </c>
      <c r="L675" s="3">
        <v>19482</v>
      </c>
      <c r="M675" t="s">
        <v>82</v>
      </c>
      <c r="N675" t="s">
        <v>43</v>
      </c>
      <c r="O675">
        <v>1</v>
      </c>
      <c r="P675" t="s">
        <v>35</v>
      </c>
      <c r="Q675" t="s">
        <v>76</v>
      </c>
      <c r="R675">
        <v>2025</v>
      </c>
      <c r="S675">
        <f>IF(AND(HR_Employees[[#This Row],[Attrition]]="YES",HR_Employees[[#This Row],[Exit_Date]]&lt;&gt;""),YEAR(HR_Employees[[#This Row],[Exit_Date]]),"")</f>
        <v>2025</v>
      </c>
    </row>
    <row r="676" spans="1:19">
      <c r="A676" t="s">
        <v>1095</v>
      </c>
      <c r="B676" t="s">
        <v>290</v>
      </c>
      <c r="C676">
        <v>28</v>
      </c>
      <c r="D676" t="s">
        <v>31</v>
      </c>
      <c r="E676" t="s">
        <v>32</v>
      </c>
      <c r="F676" t="s">
        <v>73</v>
      </c>
      <c r="G676" t="s">
        <v>23</v>
      </c>
      <c r="H676" s="2">
        <v>46094</v>
      </c>
      <c r="I676" s="2" t="str">
        <f>IFERROR(VLOOKUP(HR_Employees[[#This Row],[Employee_ID]],'[1]Synthetic Exit Data'!$A$2:$E$235,4,0)," NA")</f>
        <v xml:space="preserve"> NA</v>
      </c>
      <c r="J676" t="s">
        <v>24</v>
      </c>
      <c r="K676">
        <v>1</v>
      </c>
      <c r="L676" s="3">
        <v>31953</v>
      </c>
      <c r="M676" t="s">
        <v>42</v>
      </c>
      <c r="N676" t="s">
        <v>43</v>
      </c>
      <c r="O676">
        <v>0.57999999999999996</v>
      </c>
      <c r="P676" t="s">
        <v>35</v>
      </c>
      <c r="Q676" t="s">
        <v>44</v>
      </c>
      <c r="R676">
        <v>2026</v>
      </c>
      <c r="S676" t="str">
        <f>IF(AND(HR_Employees[[#This Row],[Attrition]]="YES",HR_Employees[[#This Row],[Exit_Date]]&lt;&gt;""),YEAR(HR_Employees[[#This Row],[Exit_Date]]),"")</f>
        <v/>
      </c>
    </row>
    <row r="677" spans="1:19">
      <c r="A677" t="s">
        <v>1096</v>
      </c>
      <c r="B677" t="s">
        <v>391</v>
      </c>
      <c r="C677">
        <v>38</v>
      </c>
      <c r="D677" t="s">
        <v>61</v>
      </c>
      <c r="E677" t="s">
        <v>21</v>
      </c>
      <c r="F677" t="s">
        <v>109</v>
      </c>
      <c r="G677" t="s">
        <v>41</v>
      </c>
      <c r="H677" s="2">
        <v>44513</v>
      </c>
      <c r="I677" s="2" t="str">
        <f>IFERROR(VLOOKUP(HR_Employees[[#This Row],[Employee_ID]],'[1]Synthetic Exit Data'!$A$2:$E$235,4,0)," NA")</f>
        <v xml:space="preserve"> NA</v>
      </c>
      <c r="J677" t="s">
        <v>24</v>
      </c>
      <c r="K677">
        <v>5</v>
      </c>
      <c r="L677" s="3">
        <v>64325</v>
      </c>
      <c r="M677" t="s">
        <v>34</v>
      </c>
      <c r="N677" t="s">
        <v>50</v>
      </c>
      <c r="O677">
        <v>4.92</v>
      </c>
      <c r="P677" t="s">
        <v>51</v>
      </c>
      <c r="Q677" t="s">
        <v>76</v>
      </c>
      <c r="R677">
        <v>2021</v>
      </c>
      <c r="S677" t="str">
        <f>IF(AND(HR_Employees[[#This Row],[Attrition]]="YES",HR_Employees[[#This Row],[Exit_Date]]&lt;&gt;""),YEAR(HR_Employees[[#This Row],[Exit_Date]]),"")</f>
        <v/>
      </c>
    </row>
    <row r="678" spans="1:19">
      <c r="A678" t="s">
        <v>1097</v>
      </c>
      <c r="B678" t="s">
        <v>181</v>
      </c>
      <c r="C678">
        <v>58</v>
      </c>
      <c r="D678" t="s">
        <v>54</v>
      </c>
      <c r="E678" t="s">
        <v>21</v>
      </c>
      <c r="F678" t="s">
        <v>22</v>
      </c>
      <c r="G678" t="s">
        <v>23</v>
      </c>
      <c r="H678" s="2">
        <v>46035</v>
      </c>
      <c r="I678" s="2" t="str">
        <f>IFERROR(VLOOKUP(HR_Employees[[#This Row],[Employee_ID]],'[1]Synthetic Exit Data'!$A$2:$E$235,4,0)," NA")</f>
        <v xml:space="preserve"> NA</v>
      </c>
      <c r="J678" t="s">
        <v>24</v>
      </c>
      <c r="K678">
        <v>3</v>
      </c>
      <c r="L678" s="3">
        <v>42187</v>
      </c>
      <c r="M678" t="s">
        <v>42</v>
      </c>
      <c r="N678" t="s">
        <v>43</v>
      </c>
      <c r="O678">
        <v>0.75</v>
      </c>
      <c r="P678" t="s">
        <v>35</v>
      </c>
      <c r="Q678" t="s">
        <v>76</v>
      </c>
      <c r="R678">
        <v>2026</v>
      </c>
      <c r="S678" t="str">
        <f>IF(AND(HR_Employees[[#This Row],[Attrition]]="YES",HR_Employees[[#This Row],[Exit_Date]]&lt;&gt;""),YEAR(HR_Employees[[#This Row],[Exit_Date]]),"")</f>
        <v/>
      </c>
    </row>
    <row r="679" spans="1:19">
      <c r="A679" t="s">
        <v>1098</v>
      </c>
      <c r="B679" t="s">
        <v>567</v>
      </c>
      <c r="C679">
        <v>47</v>
      </c>
      <c r="D679" t="s">
        <v>20</v>
      </c>
      <c r="E679" t="s">
        <v>21</v>
      </c>
      <c r="F679" t="s">
        <v>55</v>
      </c>
      <c r="G679" t="s">
        <v>48</v>
      </c>
      <c r="H679" s="2">
        <v>42526</v>
      </c>
      <c r="I679" s="2" t="str">
        <f>IFERROR(VLOOKUP(HR_Employees[[#This Row],[Employee_ID]],'[1]Synthetic Exit Data'!$A$2:$E$235,4,0)," NA")</f>
        <v>2019-01-29</v>
      </c>
      <c r="J679" t="s">
        <v>49</v>
      </c>
      <c r="K679">
        <v>3</v>
      </c>
      <c r="L679" s="3">
        <v>143121</v>
      </c>
      <c r="M679" t="s">
        <v>25</v>
      </c>
      <c r="N679" t="s">
        <v>26</v>
      </c>
      <c r="O679">
        <v>10.25</v>
      </c>
      <c r="P679" t="s">
        <v>27</v>
      </c>
      <c r="Q679" t="s">
        <v>86</v>
      </c>
      <c r="R679">
        <v>2016</v>
      </c>
      <c r="S679">
        <f>IF(AND(HR_Employees[[#This Row],[Attrition]]="YES",HR_Employees[[#This Row],[Exit_Date]]&lt;&gt;""),YEAR(HR_Employees[[#This Row],[Exit_Date]]),"")</f>
        <v>2019</v>
      </c>
    </row>
    <row r="680" spans="1:19">
      <c r="A680" t="s">
        <v>1099</v>
      </c>
      <c r="B680" t="s">
        <v>173</v>
      </c>
      <c r="C680">
        <v>22</v>
      </c>
      <c r="D680" t="s">
        <v>39</v>
      </c>
      <c r="E680" t="s">
        <v>21</v>
      </c>
      <c r="F680" t="s">
        <v>65</v>
      </c>
      <c r="G680" t="s">
        <v>48</v>
      </c>
      <c r="H680" s="2">
        <v>45059</v>
      </c>
      <c r="I680" s="2" t="str">
        <f>IFERROR(VLOOKUP(HR_Employees[[#This Row],[Employee_ID]],'[1]Synthetic Exit Data'!$A$2:$E$235,4,0)," NA")</f>
        <v xml:space="preserve"> NA</v>
      </c>
      <c r="J680" t="s">
        <v>24</v>
      </c>
      <c r="K680">
        <v>3</v>
      </c>
      <c r="L680" s="3">
        <v>52639</v>
      </c>
      <c r="M680" t="s">
        <v>34</v>
      </c>
      <c r="N680" t="s">
        <v>50</v>
      </c>
      <c r="O680">
        <v>3.42</v>
      </c>
      <c r="P680" t="s">
        <v>35</v>
      </c>
      <c r="Q680" t="s">
        <v>28</v>
      </c>
      <c r="R680">
        <v>2023</v>
      </c>
      <c r="S680" t="str">
        <f>IF(AND(HR_Employees[[#This Row],[Attrition]]="YES",HR_Employees[[#This Row],[Exit_Date]]&lt;&gt;""),YEAR(HR_Employees[[#This Row],[Exit_Date]]),"")</f>
        <v/>
      </c>
    </row>
    <row r="681" spans="1:19">
      <c r="A681" t="s">
        <v>1100</v>
      </c>
      <c r="B681" t="s">
        <v>871</v>
      </c>
      <c r="C681">
        <v>22</v>
      </c>
      <c r="D681" t="s">
        <v>39</v>
      </c>
      <c r="E681" t="s">
        <v>21</v>
      </c>
      <c r="F681" t="s">
        <v>47</v>
      </c>
      <c r="G681" t="s">
        <v>114</v>
      </c>
      <c r="H681" s="2">
        <v>46125</v>
      </c>
      <c r="I681" s="2" t="str">
        <f>IFERROR(VLOOKUP(HR_Employees[[#This Row],[Employee_ID]],'[1]Synthetic Exit Data'!$A$2:$E$235,4,0)," NA")</f>
        <v xml:space="preserve"> NA</v>
      </c>
      <c r="J681" t="s">
        <v>24</v>
      </c>
      <c r="K681">
        <v>5</v>
      </c>
      <c r="L681" s="3">
        <v>74177</v>
      </c>
      <c r="M681" t="s">
        <v>34</v>
      </c>
      <c r="N681" t="s">
        <v>43</v>
      </c>
      <c r="O681">
        <v>0.5</v>
      </c>
      <c r="P681" t="s">
        <v>51</v>
      </c>
      <c r="Q681" t="s">
        <v>62</v>
      </c>
      <c r="R681">
        <v>2026</v>
      </c>
      <c r="S681" t="str">
        <f>IF(AND(HR_Employees[[#This Row],[Attrition]]="YES",HR_Employees[[#This Row],[Exit_Date]]&lt;&gt;""),YEAR(HR_Employees[[#This Row],[Exit_Date]]),"")</f>
        <v/>
      </c>
    </row>
    <row r="682" spans="1:19">
      <c r="A682" t="s">
        <v>1101</v>
      </c>
      <c r="B682" t="s">
        <v>987</v>
      </c>
      <c r="C682">
        <v>32</v>
      </c>
      <c r="D682" t="s">
        <v>31</v>
      </c>
      <c r="E682" t="s">
        <v>21</v>
      </c>
      <c r="F682" t="s">
        <v>40</v>
      </c>
      <c r="G682" t="s">
        <v>33</v>
      </c>
      <c r="H682" s="2">
        <v>45933</v>
      </c>
      <c r="I682" s="2" t="str">
        <f>IFERROR(VLOOKUP(HR_Employees[[#This Row],[Employee_ID]],'[1]Synthetic Exit Data'!$A$2:$E$235,4,0)," NA")</f>
        <v>2025-12-01</v>
      </c>
      <c r="J682" t="s">
        <v>49</v>
      </c>
      <c r="K682">
        <v>4</v>
      </c>
      <c r="L682" s="3">
        <v>77960</v>
      </c>
      <c r="M682" t="s">
        <v>66</v>
      </c>
      <c r="N682" t="s">
        <v>43</v>
      </c>
      <c r="O682">
        <v>0.92</v>
      </c>
      <c r="P682" t="s">
        <v>27</v>
      </c>
      <c r="Q682" t="s">
        <v>36</v>
      </c>
      <c r="R682">
        <v>2025</v>
      </c>
      <c r="S682">
        <f>IF(AND(HR_Employees[[#This Row],[Attrition]]="YES",HR_Employees[[#This Row],[Exit_Date]]&lt;&gt;""),YEAR(HR_Employees[[#This Row],[Exit_Date]]),"")</f>
        <v>2025</v>
      </c>
    </row>
    <row r="683" spans="1:19">
      <c r="A683" t="s">
        <v>1102</v>
      </c>
      <c r="B683" t="s">
        <v>806</v>
      </c>
      <c r="C683">
        <v>22</v>
      </c>
      <c r="D683" t="s">
        <v>39</v>
      </c>
      <c r="E683" t="s">
        <v>32</v>
      </c>
      <c r="F683" t="s">
        <v>73</v>
      </c>
      <c r="G683" t="s">
        <v>33</v>
      </c>
      <c r="H683" s="2">
        <v>46212</v>
      </c>
      <c r="I683" s="2" t="str">
        <f>IFERROR(VLOOKUP(HR_Employees[[#This Row],[Employee_ID]],'[1]Synthetic Exit Data'!$A$2:$E$235,4,0)," NA")</f>
        <v>2026-10-10</v>
      </c>
      <c r="J683" t="s">
        <v>49</v>
      </c>
      <c r="K683">
        <v>4</v>
      </c>
      <c r="L683" s="3">
        <v>18254</v>
      </c>
      <c r="M683" t="s">
        <v>82</v>
      </c>
      <c r="N683" t="s">
        <v>43</v>
      </c>
      <c r="O683">
        <v>0.08</v>
      </c>
      <c r="P683" t="s">
        <v>27</v>
      </c>
      <c r="Q683" t="s">
        <v>76</v>
      </c>
      <c r="R683">
        <v>2026</v>
      </c>
      <c r="S683">
        <f>IF(AND(HR_Employees[[#This Row],[Attrition]]="YES",HR_Employees[[#This Row],[Exit_Date]]&lt;&gt;""),YEAR(HR_Employees[[#This Row],[Exit_Date]]),"")</f>
        <v>2026</v>
      </c>
    </row>
    <row r="684" spans="1:19">
      <c r="A684" t="s">
        <v>1103</v>
      </c>
      <c r="B684" t="s">
        <v>892</v>
      </c>
      <c r="C684">
        <v>61</v>
      </c>
      <c r="D684" t="s">
        <v>54</v>
      </c>
      <c r="E684" t="s">
        <v>21</v>
      </c>
      <c r="F684" t="s">
        <v>47</v>
      </c>
      <c r="G684" t="s">
        <v>23</v>
      </c>
      <c r="H684" s="2">
        <v>46155</v>
      </c>
      <c r="I684" s="2" t="str">
        <f>IFERROR(VLOOKUP(HR_Employees[[#This Row],[Employee_ID]],'[1]Synthetic Exit Data'!$A$2:$E$235,4,0)," NA")</f>
        <v xml:space="preserve"> NA</v>
      </c>
      <c r="J684" t="s">
        <v>24</v>
      </c>
      <c r="K684">
        <v>3</v>
      </c>
      <c r="L684" s="3">
        <v>84534</v>
      </c>
      <c r="M684" t="s">
        <v>66</v>
      </c>
      <c r="N684" t="s">
        <v>43</v>
      </c>
      <c r="O684">
        <v>0.42</v>
      </c>
      <c r="P684" t="s">
        <v>57</v>
      </c>
      <c r="Q684" t="s">
        <v>28</v>
      </c>
      <c r="R684">
        <v>2026</v>
      </c>
      <c r="S684" t="str">
        <f>IF(AND(HR_Employees[[#This Row],[Attrition]]="YES",HR_Employees[[#This Row],[Exit_Date]]&lt;&gt;""),YEAR(HR_Employees[[#This Row],[Exit_Date]]),"")</f>
        <v/>
      </c>
    </row>
    <row r="685" spans="1:19">
      <c r="A685" t="s">
        <v>1104</v>
      </c>
      <c r="B685" t="s">
        <v>1014</v>
      </c>
      <c r="C685">
        <v>31</v>
      </c>
      <c r="D685" t="s">
        <v>31</v>
      </c>
      <c r="E685" t="s">
        <v>32</v>
      </c>
      <c r="F685" t="s">
        <v>109</v>
      </c>
      <c r="G685" t="s">
        <v>33</v>
      </c>
      <c r="H685" s="2">
        <v>45120</v>
      </c>
      <c r="I685" s="2" t="str">
        <f>IFERROR(VLOOKUP(HR_Employees[[#This Row],[Employee_ID]],'[1]Synthetic Exit Data'!$A$2:$E$235,4,0)," NA")</f>
        <v xml:space="preserve"> NA</v>
      </c>
      <c r="J685" t="s">
        <v>24</v>
      </c>
      <c r="K685">
        <v>3</v>
      </c>
      <c r="L685" s="3">
        <v>90894</v>
      </c>
      <c r="M685" t="s">
        <v>66</v>
      </c>
      <c r="N685" t="s">
        <v>50</v>
      </c>
      <c r="O685">
        <v>3.25</v>
      </c>
      <c r="P685" t="s">
        <v>125</v>
      </c>
      <c r="Q685" t="s">
        <v>58</v>
      </c>
      <c r="R685">
        <v>2023</v>
      </c>
      <c r="S685" t="str">
        <f>IF(AND(HR_Employees[[#This Row],[Attrition]]="YES",HR_Employees[[#This Row],[Exit_Date]]&lt;&gt;""),YEAR(HR_Employees[[#This Row],[Exit_Date]]),"")</f>
        <v/>
      </c>
    </row>
    <row r="686" spans="1:19">
      <c r="A686" t="s">
        <v>1105</v>
      </c>
      <c r="B686" t="s">
        <v>403</v>
      </c>
      <c r="C686">
        <v>32</v>
      </c>
      <c r="D686" t="s">
        <v>31</v>
      </c>
      <c r="E686" t="s">
        <v>21</v>
      </c>
      <c r="F686" t="s">
        <v>47</v>
      </c>
      <c r="G686" t="s">
        <v>33</v>
      </c>
      <c r="H686" s="2">
        <v>45807</v>
      </c>
      <c r="I686" s="2" t="str">
        <f>IFERROR(VLOOKUP(HR_Employees[[#This Row],[Employee_ID]],'[1]Synthetic Exit Data'!$A$2:$E$235,4,0)," NA")</f>
        <v>2025-06-22</v>
      </c>
      <c r="J686" t="s">
        <v>49</v>
      </c>
      <c r="K686">
        <v>4</v>
      </c>
      <c r="L686" s="3">
        <v>174994</v>
      </c>
      <c r="M686" t="s">
        <v>25</v>
      </c>
      <c r="N686" t="s">
        <v>56</v>
      </c>
      <c r="O686">
        <v>1.25</v>
      </c>
      <c r="P686" t="s">
        <v>27</v>
      </c>
      <c r="Q686" t="s">
        <v>86</v>
      </c>
      <c r="R686">
        <v>2025</v>
      </c>
      <c r="S686">
        <f>IF(AND(HR_Employees[[#This Row],[Attrition]]="YES",HR_Employees[[#This Row],[Exit_Date]]&lt;&gt;""),YEAR(HR_Employees[[#This Row],[Exit_Date]]),"")</f>
        <v>2025</v>
      </c>
    </row>
    <row r="687" spans="1:19">
      <c r="A687" t="s">
        <v>1106</v>
      </c>
      <c r="B687" t="s">
        <v>1070</v>
      </c>
      <c r="C687">
        <v>52</v>
      </c>
      <c r="D687" t="s">
        <v>20</v>
      </c>
      <c r="E687" t="s">
        <v>32</v>
      </c>
      <c r="F687" t="s">
        <v>22</v>
      </c>
      <c r="G687" t="s">
        <v>23</v>
      </c>
      <c r="H687" s="2">
        <v>45790</v>
      </c>
      <c r="I687" s="2" t="str">
        <f>IFERROR(VLOOKUP(HR_Employees[[#This Row],[Employee_ID]],'[1]Synthetic Exit Data'!$A$2:$E$235,4,0)," NA")</f>
        <v xml:space="preserve"> NA</v>
      </c>
      <c r="J687" t="s">
        <v>24</v>
      </c>
      <c r="K687">
        <v>3</v>
      </c>
      <c r="L687" s="3">
        <v>92846</v>
      </c>
      <c r="M687" t="s">
        <v>66</v>
      </c>
      <c r="N687" t="s">
        <v>56</v>
      </c>
      <c r="O687">
        <v>1.42</v>
      </c>
      <c r="P687" t="s">
        <v>27</v>
      </c>
      <c r="Q687" t="s">
        <v>76</v>
      </c>
      <c r="R687">
        <v>2025</v>
      </c>
      <c r="S687" t="str">
        <f>IF(AND(HR_Employees[[#This Row],[Attrition]]="YES",HR_Employees[[#This Row],[Exit_Date]]&lt;&gt;""),YEAR(HR_Employees[[#This Row],[Exit_Date]]),"")</f>
        <v/>
      </c>
    </row>
    <row r="688" spans="1:19">
      <c r="A688" t="s">
        <v>1107</v>
      </c>
      <c r="B688" t="s">
        <v>1093</v>
      </c>
      <c r="C688">
        <v>27</v>
      </c>
      <c r="D688" t="s">
        <v>31</v>
      </c>
      <c r="E688" t="s">
        <v>21</v>
      </c>
      <c r="F688" t="s">
        <v>151</v>
      </c>
      <c r="G688" t="s">
        <v>41</v>
      </c>
      <c r="H688" s="2">
        <v>45394</v>
      </c>
      <c r="I688" s="2" t="str">
        <f>IFERROR(VLOOKUP(HR_Employees[[#This Row],[Employee_ID]],'[1]Synthetic Exit Data'!$A$2:$E$235,4,0)," NA")</f>
        <v>2024-11-19</v>
      </c>
      <c r="J688" t="s">
        <v>49</v>
      </c>
      <c r="K688">
        <v>3</v>
      </c>
      <c r="L688" s="3">
        <v>30240</v>
      </c>
      <c r="M688" t="s">
        <v>42</v>
      </c>
      <c r="N688" t="s">
        <v>56</v>
      </c>
      <c r="O688">
        <v>2.42</v>
      </c>
      <c r="P688" t="s">
        <v>51</v>
      </c>
      <c r="Q688" t="s">
        <v>36</v>
      </c>
      <c r="R688">
        <v>2024</v>
      </c>
      <c r="S688">
        <f>IF(AND(HR_Employees[[#This Row],[Attrition]]="YES",HR_Employees[[#This Row],[Exit_Date]]&lt;&gt;""),YEAR(HR_Employees[[#This Row],[Exit_Date]]),"")</f>
        <v>2024</v>
      </c>
    </row>
    <row r="689" spans="1:19">
      <c r="A689" t="s">
        <v>1108</v>
      </c>
      <c r="B689" t="s">
        <v>777</v>
      </c>
      <c r="C689">
        <v>35</v>
      </c>
      <c r="D689" t="s">
        <v>31</v>
      </c>
      <c r="E689" t="s">
        <v>32</v>
      </c>
      <c r="F689" t="s">
        <v>40</v>
      </c>
      <c r="G689" t="s">
        <v>23</v>
      </c>
      <c r="H689" s="2">
        <v>40492</v>
      </c>
      <c r="I689" s="2" t="str">
        <f>IFERROR(VLOOKUP(HR_Employees[[#This Row],[Employee_ID]],'[1]Synthetic Exit Data'!$A$2:$E$235,4,0)," NA")</f>
        <v>2016-11-05</v>
      </c>
      <c r="J689" t="s">
        <v>49</v>
      </c>
      <c r="K689">
        <v>3</v>
      </c>
      <c r="L689" s="3">
        <v>54087</v>
      </c>
      <c r="M689" t="s">
        <v>34</v>
      </c>
      <c r="N689" t="s">
        <v>26</v>
      </c>
      <c r="O689">
        <v>15.83</v>
      </c>
      <c r="P689" t="s">
        <v>125</v>
      </c>
      <c r="Q689" t="s">
        <v>28</v>
      </c>
      <c r="R689">
        <v>2010</v>
      </c>
      <c r="S689">
        <f>IF(AND(HR_Employees[[#This Row],[Attrition]]="YES",HR_Employees[[#This Row],[Exit_Date]]&lt;&gt;""),YEAR(HR_Employees[[#This Row],[Exit_Date]]),"")</f>
        <v>2016</v>
      </c>
    </row>
    <row r="690" spans="1:19">
      <c r="A690" t="s">
        <v>1109</v>
      </c>
      <c r="B690" t="s">
        <v>538</v>
      </c>
      <c r="C690">
        <v>42</v>
      </c>
      <c r="D690" t="s">
        <v>61</v>
      </c>
      <c r="E690" t="s">
        <v>32</v>
      </c>
      <c r="F690" t="s">
        <v>22</v>
      </c>
      <c r="G690" t="s">
        <v>23</v>
      </c>
      <c r="H690" s="2">
        <v>43659</v>
      </c>
      <c r="I690" s="2" t="str">
        <f>IFERROR(VLOOKUP(HR_Employees[[#This Row],[Employee_ID]],'[1]Synthetic Exit Data'!$A$2:$E$235,4,0)," NA")</f>
        <v xml:space="preserve"> NA</v>
      </c>
      <c r="J690" t="s">
        <v>24</v>
      </c>
      <c r="K690">
        <v>3</v>
      </c>
      <c r="L690" s="3">
        <v>36009</v>
      </c>
      <c r="M690" t="s">
        <v>42</v>
      </c>
      <c r="N690" t="s">
        <v>79</v>
      </c>
      <c r="O690">
        <v>7.25</v>
      </c>
      <c r="P690" t="s">
        <v>35</v>
      </c>
      <c r="Q690" t="s">
        <v>62</v>
      </c>
      <c r="R690">
        <v>2019</v>
      </c>
      <c r="S690" t="str">
        <f>IF(AND(HR_Employees[[#This Row],[Attrition]]="YES",HR_Employees[[#This Row],[Exit_Date]]&lt;&gt;""),YEAR(HR_Employees[[#This Row],[Exit_Date]]),"")</f>
        <v/>
      </c>
    </row>
    <row r="691" spans="1:19">
      <c r="A691" t="s">
        <v>1110</v>
      </c>
      <c r="B691" t="s">
        <v>173</v>
      </c>
      <c r="C691">
        <v>48</v>
      </c>
      <c r="D691" t="s">
        <v>20</v>
      </c>
      <c r="E691" t="s">
        <v>32</v>
      </c>
      <c r="F691" t="s">
        <v>55</v>
      </c>
      <c r="G691" t="s">
        <v>33</v>
      </c>
      <c r="H691" s="2">
        <v>44883</v>
      </c>
      <c r="I691" s="2" t="str">
        <f>IFERROR(VLOOKUP(HR_Employees[[#This Row],[Employee_ID]],'[1]Synthetic Exit Data'!$A$2:$E$235,4,0)," NA")</f>
        <v>2022-12-30</v>
      </c>
      <c r="J691" t="s">
        <v>49</v>
      </c>
      <c r="K691">
        <v>4</v>
      </c>
      <c r="L691" s="3">
        <v>37096</v>
      </c>
      <c r="M691" t="s">
        <v>42</v>
      </c>
      <c r="N691" t="s">
        <v>50</v>
      </c>
      <c r="O691">
        <v>3.75</v>
      </c>
      <c r="P691" t="s">
        <v>27</v>
      </c>
      <c r="Q691" t="s">
        <v>86</v>
      </c>
      <c r="R691">
        <v>2022</v>
      </c>
      <c r="S691">
        <f>IF(AND(HR_Employees[[#This Row],[Attrition]]="YES",HR_Employees[[#This Row],[Exit_Date]]&lt;&gt;""),YEAR(HR_Employees[[#This Row],[Exit_Date]]),"")</f>
        <v>2022</v>
      </c>
    </row>
    <row r="692" spans="1:19">
      <c r="A692" t="s">
        <v>1111</v>
      </c>
      <c r="B692" t="s">
        <v>53</v>
      </c>
      <c r="C692">
        <v>37</v>
      </c>
      <c r="D692" t="s">
        <v>61</v>
      </c>
      <c r="E692" t="s">
        <v>32</v>
      </c>
      <c r="F692" t="s">
        <v>109</v>
      </c>
      <c r="G692" t="s">
        <v>33</v>
      </c>
      <c r="H692" s="2">
        <v>40952</v>
      </c>
      <c r="I692" s="2" t="str">
        <f>IFERROR(VLOOKUP(HR_Employees[[#This Row],[Employee_ID]],'[1]Synthetic Exit Data'!$A$2:$E$235,4,0)," NA")</f>
        <v xml:space="preserve"> NA</v>
      </c>
      <c r="J692" t="s">
        <v>24</v>
      </c>
      <c r="K692">
        <v>3</v>
      </c>
      <c r="L692" s="3">
        <v>30130</v>
      </c>
      <c r="M692" t="s">
        <v>42</v>
      </c>
      <c r="N692" t="s">
        <v>26</v>
      </c>
      <c r="O692">
        <v>14.67</v>
      </c>
      <c r="P692" t="s">
        <v>57</v>
      </c>
      <c r="Q692" t="s">
        <v>76</v>
      </c>
      <c r="R692">
        <v>2012</v>
      </c>
      <c r="S692" t="str">
        <f>IF(AND(HR_Employees[[#This Row],[Attrition]]="YES",HR_Employees[[#This Row],[Exit_Date]]&lt;&gt;""),YEAR(HR_Employees[[#This Row],[Exit_Date]]),"")</f>
        <v/>
      </c>
    </row>
    <row r="693" spans="1:19">
      <c r="A693" t="s">
        <v>1112</v>
      </c>
      <c r="B693" t="s">
        <v>1113</v>
      </c>
      <c r="C693">
        <v>58</v>
      </c>
      <c r="D693" t="s">
        <v>54</v>
      </c>
      <c r="E693" t="s">
        <v>21</v>
      </c>
      <c r="F693" t="s">
        <v>22</v>
      </c>
      <c r="G693" t="s">
        <v>114</v>
      </c>
      <c r="H693" s="2">
        <v>45913</v>
      </c>
      <c r="I693" s="2" t="str">
        <f>IFERROR(VLOOKUP(HR_Employees[[#This Row],[Employee_ID]],'[1]Synthetic Exit Data'!$A$2:$E$235,4,0)," NA")</f>
        <v xml:space="preserve"> NA</v>
      </c>
      <c r="J693" t="s">
        <v>24</v>
      </c>
      <c r="K693">
        <v>4</v>
      </c>
      <c r="L693" s="3">
        <v>73272</v>
      </c>
      <c r="M693" t="s">
        <v>34</v>
      </c>
      <c r="N693" t="s">
        <v>56</v>
      </c>
      <c r="O693">
        <v>1.08</v>
      </c>
      <c r="P693" t="s">
        <v>51</v>
      </c>
      <c r="Q693" t="s">
        <v>76</v>
      </c>
      <c r="R693">
        <v>2025</v>
      </c>
      <c r="S693" t="str">
        <f>IF(AND(HR_Employees[[#This Row],[Attrition]]="YES",HR_Employees[[#This Row],[Exit_Date]]&lt;&gt;""),YEAR(HR_Employees[[#This Row],[Exit_Date]]),"")</f>
        <v/>
      </c>
    </row>
    <row r="694" spans="1:19">
      <c r="A694" t="s">
        <v>1114</v>
      </c>
      <c r="B694" t="s">
        <v>479</v>
      </c>
      <c r="C694">
        <v>43</v>
      </c>
      <c r="D694" t="s">
        <v>61</v>
      </c>
      <c r="E694" t="s">
        <v>21</v>
      </c>
      <c r="F694" t="s">
        <v>40</v>
      </c>
      <c r="G694" t="s">
        <v>23</v>
      </c>
      <c r="H694" s="2">
        <v>46066</v>
      </c>
      <c r="I694" s="2" t="str">
        <f>IFERROR(VLOOKUP(HR_Employees[[#This Row],[Employee_ID]],'[1]Synthetic Exit Data'!$A$2:$E$235,4,0)," NA")</f>
        <v xml:space="preserve"> NA</v>
      </c>
      <c r="J694" t="s">
        <v>24</v>
      </c>
      <c r="K694">
        <v>4</v>
      </c>
      <c r="L694" s="3">
        <v>74513</v>
      </c>
      <c r="M694" t="s">
        <v>34</v>
      </c>
      <c r="N694" t="s">
        <v>43</v>
      </c>
      <c r="O694">
        <v>0.67</v>
      </c>
      <c r="P694" t="s">
        <v>27</v>
      </c>
      <c r="Q694" t="s">
        <v>76</v>
      </c>
      <c r="R694">
        <v>2026</v>
      </c>
      <c r="S694" t="str">
        <f>IF(AND(HR_Employees[[#This Row],[Attrition]]="YES",HR_Employees[[#This Row],[Exit_Date]]&lt;&gt;""),YEAR(HR_Employees[[#This Row],[Exit_Date]]),"")</f>
        <v/>
      </c>
    </row>
    <row r="695" spans="1:19">
      <c r="A695" t="s">
        <v>1115</v>
      </c>
      <c r="B695" t="s">
        <v>1116</v>
      </c>
      <c r="C695">
        <v>41</v>
      </c>
      <c r="D695" t="s">
        <v>61</v>
      </c>
      <c r="E695" t="s">
        <v>32</v>
      </c>
      <c r="F695" t="s">
        <v>47</v>
      </c>
      <c r="G695" t="s">
        <v>33</v>
      </c>
      <c r="H695" s="2">
        <v>46125</v>
      </c>
      <c r="I695" s="2" t="str">
        <f>IFERROR(VLOOKUP(HR_Employees[[#This Row],[Employee_ID]],'[1]Synthetic Exit Data'!$A$2:$E$235,4,0)," NA")</f>
        <v xml:space="preserve"> NA</v>
      </c>
      <c r="J695" t="s">
        <v>24</v>
      </c>
      <c r="K695">
        <v>2</v>
      </c>
      <c r="L695" s="3">
        <v>82306</v>
      </c>
      <c r="M695" t="s">
        <v>66</v>
      </c>
      <c r="N695" t="s">
        <v>43</v>
      </c>
      <c r="O695">
        <v>0.5</v>
      </c>
      <c r="P695" t="s">
        <v>27</v>
      </c>
      <c r="Q695" t="s">
        <v>76</v>
      </c>
      <c r="R695">
        <v>2026</v>
      </c>
      <c r="S695" t="str">
        <f>IF(AND(HR_Employees[[#This Row],[Attrition]]="YES",HR_Employees[[#This Row],[Exit_Date]]&lt;&gt;""),YEAR(HR_Employees[[#This Row],[Exit_Date]]),"")</f>
        <v/>
      </c>
    </row>
    <row r="696" spans="1:19">
      <c r="A696" t="s">
        <v>1117</v>
      </c>
      <c r="B696" t="s">
        <v>720</v>
      </c>
      <c r="C696">
        <v>41</v>
      </c>
      <c r="D696" t="s">
        <v>61</v>
      </c>
      <c r="E696" t="s">
        <v>21</v>
      </c>
      <c r="F696" t="s">
        <v>109</v>
      </c>
      <c r="G696" t="s">
        <v>23</v>
      </c>
      <c r="H696" s="2">
        <v>46004</v>
      </c>
      <c r="I696" s="2" t="str">
        <f>IFERROR(VLOOKUP(HR_Employees[[#This Row],[Employee_ID]],'[1]Synthetic Exit Data'!$A$2:$E$235,4,0)," NA")</f>
        <v xml:space="preserve"> NA</v>
      </c>
      <c r="J696" t="s">
        <v>24</v>
      </c>
      <c r="K696">
        <v>5</v>
      </c>
      <c r="L696" s="3">
        <v>21462</v>
      </c>
      <c r="M696" t="s">
        <v>82</v>
      </c>
      <c r="N696" t="s">
        <v>43</v>
      </c>
      <c r="O696">
        <v>0.83</v>
      </c>
      <c r="P696" t="s">
        <v>51</v>
      </c>
      <c r="Q696" t="s">
        <v>28</v>
      </c>
      <c r="R696">
        <v>2025</v>
      </c>
      <c r="S696" t="str">
        <f>IF(AND(HR_Employees[[#This Row],[Attrition]]="YES",HR_Employees[[#This Row],[Exit_Date]]&lt;&gt;""),YEAR(HR_Employees[[#This Row],[Exit_Date]]),"")</f>
        <v/>
      </c>
    </row>
    <row r="697" spans="1:19">
      <c r="A697" t="s">
        <v>1118</v>
      </c>
      <c r="B697" t="s">
        <v>877</v>
      </c>
      <c r="C697">
        <v>23</v>
      </c>
      <c r="D697" t="s">
        <v>39</v>
      </c>
      <c r="E697" t="s">
        <v>32</v>
      </c>
      <c r="F697" t="s">
        <v>40</v>
      </c>
      <c r="G697" t="s">
        <v>48</v>
      </c>
      <c r="H697" s="2">
        <v>45906</v>
      </c>
      <c r="I697" s="2" t="str">
        <f>IFERROR(VLOOKUP(HR_Employees[[#This Row],[Employee_ID]],'[1]Synthetic Exit Data'!$A$2:$E$235,4,0)," NA")</f>
        <v>2025-10-01</v>
      </c>
      <c r="J697" t="s">
        <v>49</v>
      </c>
      <c r="K697">
        <v>3</v>
      </c>
      <c r="L697" s="3">
        <v>50007</v>
      </c>
      <c r="M697" t="s">
        <v>34</v>
      </c>
      <c r="N697" t="s">
        <v>43</v>
      </c>
      <c r="O697">
        <v>0.92</v>
      </c>
      <c r="P697" t="s">
        <v>83</v>
      </c>
      <c r="Q697" t="s">
        <v>76</v>
      </c>
      <c r="R697">
        <v>2025</v>
      </c>
      <c r="S697">
        <f>IF(AND(HR_Employees[[#This Row],[Attrition]]="YES",HR_Employees[[#This Row],[Exit_Date]]&lt;&gt;""),YEAR(HR_Employees[[#This Row],[Exit_Date]]),"")</f>
        <v>2025</v>
      </c>
    </row>
    <row r="698" spans="1:19">
      <c r="A698" t="s">
        <v>1119</v>
      </c>
      <c r="B698" t="s">
        <v>926</v>
      </c>
      <c r="C698">
        <v>22</v>
      </c>
      <c r="D698" t="s">
        <v>39</v>
      </c>
      <c r="E698" t="s">
        <v>21</v>
      </c>
      <c r="F698" t="s">
        <v>47</v>
      </c>
      <c r="G698" t="s">
        <v>48</v>
      </c>
      <c r="H698" s="2">
        <v>44725</v>
      </c>
      <c r="I698" s="2" t="str">
        <f>IFERROR(VLOOKUP(HR_Employees[[#This Row],[Employee_ID]],'[1]Synthetic Exit Data'!$A$2:$E$235,4,0)," NA")</f>
        <v xml:space="preserve"> NA</v>
      </c>
      <c r="J698" t="s">
        <v>24</v>
      </c>
      <c r="K698">
        <v>3</v>
      </c>
      <c r="L698" s="3">
        <v>31115</v>
      </c>
      <c r="M698" t="s">
        <v>42</v>
      </c>
      <c r="N698" t="s">
        <v>50</v>
      </c>
      <c r="O698">
        <v>4.33</v>
      </c>
      <c r="P698" t="s">
        <v>27</v>
      </c>
      <c r="Q698" t="s">
        <v>28</v>
      </c>
      <c r="R698">
        <v>2022</v>
      </c>
      <c r="S698" t="str">
        <f>IF(AND(HR_Employees[[#This Row],[Attrition]]="YES",HR_Employees[[#This Row],[Exit_Date]]&lt;&gt;""),YEAR(HR_Employees[[#This Row],[Exit_Date]]),"")</f>
        <v/>
      </c>
    </row>
    <row r="699" spans="1:19">
      <c r="A699" t="s">
        <v>1120</v>
      </c>
      <c r="B699" t="s">
        <v>697</v>
      </c>
      <c r="C699">
        <v>21</v>
      </c>
      <c r="D699" t="s">
        <v>39</v>
      </c>
      <c r="E699" t="s">
        <v>32</v>
      </c>
      <c r="F699" t="s">
        <v>151</v>
      </c>
      <c r="G699" t="s">
        <v>23</v>
      </c>
      <c r="H699" s="2">
        <v>43419</v>
      </c>
      <c r="I699" s="2" t="str">
        <f>IFERROR(VLOOKUP(HR_Employees[[#This Row],[Employee_ID]],'[1]Synthetic Exit Data'!$A$2:$E$235,4,0)," NA")</f>
        <v>2018-11-22</v>
      </c>
      <c r="J699" t="s">
        <v>49</v>
      </c>
      <c r="K699">
        <v>4</v>
      </c>
      <c r="L699" s="3">
        <v>64911</v>
      </c>
      <c r="M699" t="s">
        <v>34</v>
      </c>
      <c r="N699" t="s">
        <v>79</v>
      </c>
      <c r="O699">
        <v>7.75</v>
      </c>
      <c r="P699" t="s">
        <v>27</v>
      </c>
      <c r="Q699" t="s">
        <v>92</v>
      </c>
      <c r="R699">
        <v>2018</v>
      </c>
      <c r="S699">
        <f>IF(AND(HR_Employees[[#This Row],[Attrition]]="YES",HR_Employees[[#This Row],[Exit_Date]]&lt;&gt;""),YEAR(HR_Employees[[#This Row],[Exit_Date]]),"")</f>
        <v>2018</v>
      </c>
    </row>
    <row r="700" spans="1:19">
      <c r="A700" t="s">
        <v>1121</v>
      </c>
      <c r="B700" t="s">
        <v>507</v>
      </c>
      <c r="C700">
        <v>32</v>
      </c>
      <c r="D700" t="s">
        <v>31</v>
      </c>
      <c r="E700" t="s">
        <v>32</v>
      </c>
      <c r="F700" t="s">
        <v>109</v>
      </c>
      <c r="G700" t="s">
        <v>48</v>
      </c>
      <c r="H700" s="2">
        <v>46094</v>
      </c>
      <c r="I700" s="2" t="str">
        <f>IFERROR(VLOOKUP(HR_Employees[[#This Row],[Employee_ID]],'[1]Synthetic Exit Data'!$A$2:$E$235,4,0)," NA")</f>
        <v xml:space="preserve"> NA</v>
      </c>
      <c r="J700" t="s">
        <v>24</v>
      </c>
      <c r="K700">
        <v>5</v>
      </c>
      <c r="L700" s="3">
        <v>86127</v>
      </c>
      <c r="M700" t="s">
        <v>66</v>
      </c>
      <c r="N700" t="s">
        <v>43</v>
      </c>
      <c r="O700">
        <v>0.57999999999999996</v>
      </c>
      <c r="P700" t="s">
        <v>51</v>
      </c>
      <c r="Q700" t="s">
        <v>28</v>
      </c>
      <c r="R700">
        <v>2026</v>
      </c>
      <c r="S700" t="str">
        <f>IF(AND(HR_Employees[[#This Row],[Attrition]]="YES",HR_Employees[[#This Row],[Exit_Date]]&lt;&gt;""),YEAR(HR_Employees[[#This Row],[Exit_Date]]),"")</f>
        <v/>
      </c>
    </row>
    <row r="701" spans="1:19">
      <c r="A701" t="s">
        <v>1122</v>
      </c>
      <c r="B701" t="s">
        <v>1123</v>
      </c>
      <c r="C701">
        <v>25</v>
      </c>
      <c r="D701" t="s">
        <v>39</v>
      </c>
      <c r="E701" t="s">
        <v>32</v>
      </c>
      <c r="F701" t="s">
        <v>47</v>
      </c>
      <c r="G701" t="s">
        <v>33</v>
      </c>
      <c r="H701" s="2">
        <v>44625</v>
      </c>
      <c r="I701" s="2" t="str">
        <f>IFERROR(VLOOKUP(HR_Employees[[#This Row],[Employee_ID]],'[1]Synthetic Exit Data'!$A$2:$E$235,4,0)," NA")</f>
        <v>2022-09-28</v>
      </c>
      <c r="J701" t="s">
        <v>49</v>
      </c>
      <c r="K701">
        <v>3</v>
      </c>
      <c r="L701" s="3">
        <v>89692</v>
      </c>
      <c r="M701" t="s">
        <v>66</v>
      </c>
      <c r="N701" t="s">
        <v>50</v>
      </c>
      <c r="O701">
        <v>4.42</v>
      </c>
      <c r="P701" t="s">
        <v>83</v>
      </c>
      <c r="Q701" t="s">
        <v>58</v>
      </c>
      <c r="R701">
        <v>2022</v>
      </c>
      <c r="S701">
        <f>IF(AND(HR_Employees[[#This Row],[Attrition]]="YES",HR_Employees[[#This Row],[Exit_Date]]&lt;&gt;""),YEAR(HR_Employees[[#This Row],[Exit_Date]]),"")</f>
        <v>2022</v>
      </c>
    </row>
    <row r="702" spans="1:19">
      <c r="A702" t="s">
        <v>1124</v>
      </c>
      <c r="B702" t="s">
        <v>122</v>
      </c>
      <c r="C702">
        <v>54</v>
      </c>
      <c r="D702" t="s">
        <v>20</v>
      </c>
      <c r="E702" t="s">
        <v>21</v>
      </c>
      <c r="F702" t="s">
        <v>22</v>
      </c>
      <c r="G702" t="s">
        <v>23</v>
      </c>
      <c r="H702" s="2">
        <v>46186</v>
      </c>
      <c r="I702" s="2" t="str">
        <f>IFERROR(VLOOKUP(HR_Employees[[#This Row],[Employee_ID]],'[1]Synthetic Exit Data'!$A$2:$E$235,4,0)," NA")</f>
        <v xml:space="preserve"> NA</v>
      </c>
      <c r="J702" t="s">
        <v>24</v>
      </c>
      <c r="K702">
        <v>4</v>
      </c>
      <c r="L702" s="3">
        <v>66564</v>
      </c>
      <c r="M702" t="s">
        <v>34</v>
      </c>
      <c r="N702" t="s">
        <v>43</v>
      </c>
      <c r="O702">
        <v>0.33</v>
      </c>
      <c r="P702" t="s">
        <v>27</v>
      </c>
      <c r="Q702" t="s">
        <v>28</v>
      </c>
      <c r="R702">
        <v>2026</v>
      </c>
      <c r="S702" t="str">
        <f>IF(AND(HR_Employees[[#This Row],[Attrition]]="YES",HR_Employees[[#This Row],[Exit_Date]]&lt;&gt;""),YEAR(HR_Employees[[#This Row],[Exit_Date]]),"")</f>
        <v/>
      </c>
    </row>
    <row r="703" spans="1:19">
      <c r="A703" t="s">
        <v>1125</v>
      </c>
      <c r="B703" t="s">
        <v>848</v>
      </c>
      <c r="C703">
        <v>22</v>
      </c>
      <c r="D703" t="s">
        <v>39</v>
      </c>
      <c r="E703" t="s">
        <v>21</v>
      </c>
      <c r="F703" t="s">
        <v>55</v>
      </c>
      <c r="G703" t="s">
        <v>33</v>
      </c>
      <c r="H703" s="2">
        <v>46094</v>
      </c>
      <c r="I703" s="2" t="str">
        <f>IFERROR(VLOOKUP(HR_Employees[[#This Row],[Employee_ID]],'[1]Synthetic Exit Data'!$A$2:$E$235,4,0)," NA")</f>
        <v xml:space="preserve"> NA</v>
      </c>
      <c r="J703" t="s">
        <v>24</v>
      </c>
      <c r="K703">
        <v>4</v>
      </c>
      <c r="L703" s="3">
        <v>163206</v>
      </c>
      <c r="M703" t="s">
        <v>25</v>
      </c>
      <c r="N703" t="s">
        <v>43</v>
      </c>
      <c r="O703">
        <v>0.57999999999999996</v>
      </c>
      <c r="P703" t="s">
        <v>27</v>
      </c>
      <c r="Q703" t="s">
        <v>62</v>
      </c>
      <c r="R703">
        <v>2026</v>
      </c>
      <c r="S703" t="str">
        <f>IF(AND(HR_Employees[[#This Row],[Attrition]]="YES",HR_Employees[[#This Row],[Exit_Date]]&lt;&gt;""),YEAR(HR_Employees[[#This Row],[Exit_Date]]),"")</f>
        <v/>
      </c>
    </row>
    <row r="704" spans="1:19">
      <c r="A704" t="s">
        <v>1126</v>
      </c>
      <c r="B704" t="s">
        <v>499</v>
      </c>
      <c r="C704">
        <v>21</v>
      </c>
      <c r="D704" t="s">
        <v>39</v>
      </c>
      <c r="E704" t="s">
        <v>21</v>
      </c>
      <c r="F704" t="s">
        <v>47</v>
      </c>
      <c r="G704" t="s">
        <v>23</v>
      </c>
      <c r="H704" s="2">
        <v>44482</v>
      </c>
      <c r="I704" s="2" t="str">
        <f>IFERROR(VLOOKUP(HR_Employees[[#This Row],[Employee_ID]],'[1]Synthetic Exit Data'!$A$2:$E$235,4,0)," NA")</f>
        <v xml:space="preserve"> NA</v>
      </c>
      <c r="J704" t="s">
        <v>24</v>
      </c>
      <c r="K704">
        <v>3</v>
      </c>
      <c r="L704" s="3">
        <v>24094</v>
      </c>
      <c r="M704" t="s">
        <v>82</v>
      </c>
      <c r="N704" t="s">
        <v>50</v>
      </c>
      <c r="O704">
        <v>5</v>
      </c>
      <c r="P704" t="s">
        <v>83</v>
      </c>
      <c r="Q704" t="s">
        <v>62</v>
      </c>
      <c r="R704">
        <v>2021</v>
      </c>
      <c r="S704" t="str">
        <f>IF(AND(HR_Employees[[#This Row],[Attrition]]="YES",HR_Employees[[#This Row],[Exit_Date]]&lt;&gt;""),YEAR(HR_Employees[[#This Row],[Exit_Date]]),"")</f>
        <v/>
      </c>
    </row>
    <row r="705" spans="1:19">
      <c r="A705" t="s">
        <v>1127</v>
      </c>
      <c r="B705" t="s">
        <v>1128</v>
      </c>
      <c r="C705">
        <v>39</v>
      </c>
      <c r="D705" t="s">
        <v>61</v>
      </c>
      <c r="E705" t="s">
        <v>32</v>
      </c>
      <c r="F705" t="s">
        <v>73</v>
      </c>
      <c r="G705" t="s">
        <v>33</v>
      </c>
      <c r="H705" s="2">
        <v>44513</v>
      </c>
      <c r="I705" s="2" t="str">
        <f>IFERROR(VLOOKUP(HR_Employees[[#This Row],[Employee_ID]],'[1]Synthetic Exit Data'!$A$2:$E$235,4,0)," NA")</f>
        <v xml:space="preserve"> NA</v>
      </c>
      <c r="J705" t="s">
        <v>24</v>
      </c>
      <c r="K705">
        <v>4</v>
      </c>
      <c r="L705" s="3">
        <v>72624</v>
      </c>
      <c r="M705" t="s">
        <v>34</v>
      </c>
      <c r="N705" t="s">
        <v>50</v>
      </c>
      <c r="O705">
        <v>4.92</v>
      </c>
      <c r="P705" t="s">
        <v>27</v>
      </c>
      <c r="Q705" t="s">
        <v>62</v>
      </c>
      <c r="R705">
        <v>2021</v>
      </c>
      <c r="S705" t="str">
        <f>IF(AND(HR_Employees[[#This Row],[Attrition]]="YES",HR_Employees[[#This Row],[Exit_Date]]&lt;&gt;""),YEAR(HR_Employees[[#This Row],[Exit_Date]]),"")</f>
        <v/>
      </c>
    </row>
    <row r="706" spans="1:19">
      <c r="A706" t="s">
        <v>1129</v>
      </c>
      <c r="B706" t="s">
        <v>167</v>
      </c>
      <c r="C706">
        <v>24</v>
      </c>
      <c r="D706" t="s">
        <v>39</v>
      </c>
      <c r="E706" t="s">
        <v>21</v>
      </c>
      <c r="F706" t="s">
        <v>40</v>
      </c>
      <c r="G706" t="s">
        <v>23</v>
      </c>
      <c r="H706" s="2">
        <v>45729</v>
      </c>
      <c r="I706" s="2" t="str">
        <f>IFERROR(VLOOKUP(HR_Employees[[#This Row],[Employee_ID]],'[1]Synthetic Exit Data'!$A$2:$E$235,4,0)," NA")</f>
        <v xml:space="preserve"> NA</v>
      </c>
      <c r="J706" t="s">
        <v>24</v>
      </c>
      <c r="K706">
        <v>4</v>
      </c>
      <c r="L706" s="3">
        <v>74576</v>
      </c>
      <c r="M706" t="s">
        <v>34</v>
      </c>
      <c r="N706" t="s">
        <v>56</v>
      </c>
      <c r="O706">
        <v>1.58</v>
      </c>
      <c r="P706" t="s">
        <v>83</v>
      </c>
      <c r="Q706" t="s">
        <v>36</v>
      </c>
      <c r="R706">
        <v>2025</v>
      </c>
      <c r="S706" t="str">
        <f>IF(AND(HR_Employees[[#This Row],[Attrition]]="YES",HR_Employees[[#This Row],[Exit_Date]]&lt;&gt;""),YEAR(HR_Employees[[#This Row],[Exit_Date]]),"")</f>
        <v/>
      </c>
    </row>
    <row r="707" spans="1:19">
      <c r="A707" t="s">
        <v>1130</v>
      </c>
      <c r="B707" t="s">
        <v>1131</v>
      </c>
      <c r="C707">
        <v>40</v>
      </c>
      <c r="D707" t="s">
        <v>61</v>
      </c>
      <c r="E707" t="s">
        <v>21</v>
      </c>
      <c r="F707" t="s">
        <v>40</v>
      </c>
      <c r="G707" t="s">
        <v>23</v>
      </c>
      <c r="H707" s="2">
        <v>42229</v>
      </c>
      <c r="I707" s="2" t="str">
        <f>IFERROR(VLOOKUP(HR_Employees[[#This Row],[Employee_ID]],'[1]Synthetic Exit Data'!$A$2:$E$235,4,0)," NA")</f>
        <v xml:space="preserve"> NA</v>
      </c>
      <c r="J707" t="s">
        <v>24</v>
      </c>
      <c r="K707">
        <v>3</v>
      </c>
      <c r="L707" s="3">
        <v>130312</v>
      </c>
      <c r="M707" t="s">
        <v>25</v>
      </c>
      <c r="N707" t="s">
        <v>26</v>
      </c>
      <c r="O707">
        <v>11.17</v>
      </c>
      <c r="P707" t="s">
        <v>27</v>
      </c>
      <c r="Q707" t="s">
        <v>58</v>
      </c>
      <c r="R707">
        <v>2015</v>
      </c>
      <c r="S707" t="str">
        <f>IF(AND(HR_Employees[[#This Row],[Attrition]]="YES",HR_Employees[[#This Row],[Exit_Date]]&lt;&gt;""),YEAR(HR_Employees[[#This Row],[Exit_Date]]),"")</f>
        <v/>
      </c>
    </row>
    <row r="708" spans="1:19">
      <c r="A708" t="s">
        <v>1132</v>
      </c>
      <c r="B708" t="s">
        <v>1133</v>
      </c>
      <c r="C708">
        <v>26</v>
      </c>
      <c r="D708" t="s">
        <v>31</v>
      </c>
      <c r="E708" t="s">
        <v>32</v>
      </c>
      <c r="F708" t="s">
        <v>47</v>
      </c>
      <c r="G708" t="s">
        <v>23</v>
      </c>
      <c r="H708" s="2">
        <v>45304</v>
      </c>
      <c r="I708" s="2" t="str">
        <f>IFERROR(VLOOKUP(HR_Employees[[#This Row],[Employee_ID]],'[1]Synthetic Exit Data'!$A$2:$E$235,4,0)," NA")</f>
        <v xml:space="preserve"> NA</v>
      </c>
      <c r="J708" t="s">
        <v>24</v>
      </c>
      <c r="K708">
        <v>2</v>
      </c>
      <c r="L708" s="3">
        <v>61268</v>
      </c>
      <c r="M708" t="s">
        <v>34</v>
      </c>
      <c r="N708" t="s">
        <v>56</v>
      </c>
      <c r="O708">
        <v>2.75</v>
      </c>
      <c r="P708" t="s">
        <v>83</v>
      </c>
      <c r="Q708" t="s">
        <v>76</v>
      </c>
      <c r="R708">
        <v>2024</v>
      </c>
      <c r="S708" t="str">
        <f>IF(AND(HR_Employees[[#This Row],[Attrition]]="YES",HR_Employees[[#This Row],[Exit_Date]]&lt;&gt;""),YEAR(HR_Employees[[#This Row],[Exit_Date]]),"")</f>
        <v/>
      </c>
    </row>
    <row r="709" spans="1:19">
      <c r="A709" t="s">
        <v>1134</v>
      </c>
      <c r="B709" t="s">
        <v>1135</v>
      </c>
      <c r="C709">
        <v>26</v>
      </c>
      <c r="D709" t="s">
        <v>31</v>
      </c>
      <c r="E709" t="s">
        <v>32</v>
      </c>
      <c r="F709" t="s">
        <v>22</v>
      </c>
      <c r="G709" t="s">
        <v>48</v>
      </c>
      <c r="H709" s="2">
        <v>46066</v>
      </c>
      <c r="I709" s="2" t="str">
        <f>IFERROR(VLOOKUP(HR_Employees[[#This Row],[Employee_ID]],'[1]Synthetic Exit Data'!$A$2:$E$235,4,0)," NA")</f>
        <v xml:space="preserve"> NA</v>
      </c>
      <c r="J709" t="s">
        <v>24</v>
      </c>
      <c r="K709">
        <v>3</v>
      </c>
      <c r="L709" s="3">
        <v>20088</v>
      </c>
      <c r="M709" t="s">
        <v>82</v>
      </c>
      <c r="N709" t="s">
        <v>43</v>
      </c>
      <c r="O709">
        <v>0.67</v>
      </c>
      <c r="P709" t="s">
        <v>83</v>
      </c>
      <c r="Q709" t="s">
        <v>58</v>
      </c>
      <c r="R709">
        <v>2026</v>
      </c>
      <c r="S709" t="str">
        <f>IF(AND(HR_Employees[[#This Row],[Attrition]]="YES",HR_Employees[[#This Row],[Exit_Date]]&lt;&gt;""),YEAR(HR_Employees[[#This Row],[Exit_Date]]),"")</f>
        <v/>
      </c>
    </row>
    <row r="710" spans="1:19">
      <c r="A710" t="s">
        <v>1136</v>
      </c>
      <c r="B710" t="s">
        <v>422</v>
      </c>
      <c r="C710">
        <v>42</v>
      </c>
      <c r="D710" t="s">
        <v>61</v>
      </c>
      <c r="E710" t="s">
        <v>21</v>
      </c>
      <c r="F710" t="s">
        <v>40</v>
      </c>
      <c r="G710" t="s">
        <v>33</v>
      </c>
      <c r="H710" s="2">
        <v>46278</v>
      </c>
      <c r="I710" s="2" t="str">
        <f>IFERROR(VLOOKUP(HR_Employees[[#This Row],[Employee_ID]],'[1]Synthetic Exit Data'!$A$2:$E$235,4,0)," NA")</f>
        <v xml:space="preserve"> NA</v>
      </c>
      <c r="J710" t="s">
        <v>24</v>
      </c>
      <c r="K710">
        <v>5</v>
      </c>
      <c r="L710" s="3">
        <v>79194</v>
      </c>
      <c r="M710" t="s">
        <v>66</v>
      </c>
      <c r="N710" t="s">
        <v>43</v>
      </c>
      <c r="O710">
        <v>0.08</v>
      </c>
      <c r="P710" t="s">
        <v>35</v>
      </c>
      <c r="Q710" t="s">
        <v>92</v>
      </c>
      <c r="R710">
        <v>2026</v>
      </c>
      <c r="S710" t="str">
        <f>IF(AND(HR_Employees[[#This Row],[Attrition]]="YES",HR_Employees[[#This Row],[Exit_Date]]&lt;&gt;""),YEAR(HR_Employees[[#This Row],[Exit_Date]]),"")</f>
        <v/>
      </c>
    </row>
    <row r="711" spans="1:19">
      <c r="A711" t="s">
        <v>1137</v>
      </c>
      <c r="B711" t="s">
        <v>866</v>
      </c>
      <c r="C711">
        <v>29</v>
      </c>
      <c r="D711" t="s">
        <v>31</v>
      </c>
      <c r="E711" t="s">
        <v>21</v>
      </c>
      <c r="F711" t="s">
        <v>65</v>
      </c>
      <c r="G711" t="s">
        <v>23</v>
      </c>
      <c r="H711" s="2">
        <v>45486</v>
      </c>
      <c r="I711" s="2" t="str">
        <f>IFERROR(VLOOKUP(HR_Employees[[#This Row],[Employee_ID]],'[1]Synthetic Exit Data'!$A$2:$E$235,4,0)," NA")</f>
        <v xml:space="preserve"> NA</v>
      </c>
      <c r="J711" t="s">
        <v>24</v>
      </c>
      <c r="K711">
        <v>3</v>
      </c>
      <c r="L711" s="3">
        <v>21661</v>
      </c>
      <c r="M711" t="s">
        <v>82</v>
      </c>
      <c r="N711" t="s">
        <v>56</v>
      </c>
      <c r="O711">
        <v>2.25</v>
      </c>
      <c r="P711" t="s">
        <v>35</v>
      </c>
      <c r="Q711" t="s">
        <v>62</v>
      </c>
      <c r="R711">
        <v>2024</v>
      </c>
      <c r="S711" t="str">
        <f>IF(AND(HR_Employees[[#This Row],[Attrition]]="YES",HR_Employees[[#This Row],[Exit_Date]]&lt;&gt;""),YEAR(HR_Employees[[#This Row],[Exit_Date]]),"")</f>
        <v/>
      </c>
    </row>
    <row r="712" spans="1:19">
      <c r="A712" t="s">
        <v>1138</v>
      </c>
      <c r="B712" t="s">
        <v>1139</v>
      </c>
      <c r="C712">
        <v>29</v>
      </c>
      <c r="D712" t="s">
        <v>31</v>
      </c>
      <c r="E712" t="s">
        <v>21</v>
      </c>
      <c r="F712" t="s">
        <v>47</v>
      </c>
      <c r="G712" t="s">
        <v>23</v>
      </c>
      <c r="H712" s="2">
        <v>46166</v>
      </c>
      <c r="I712" s="2" t="str">
        <f>IFERROR(VLOOKUP(HR_Employees[[#This Row],[Employee_ID]],'[1]Synthetic Exit Data'!$A$2:$E$235,4,0)," NA")</f>
        <v>2026-08-04</v>
      </c>
      <c r="J712" t="s">
        <v>49</v>
      </c>
      <c r="K712">
        <v>4</v>
      </c>
      <c r="L712" s="3">
        <v>35806</v>
      </c>
      <c r="M712" t="s">
        <v>42</v>
      </c>
      <c r="N712" t="s">
        <v>43</v>
      </c>
      <c r="O712">
        <v>0.33</v>
      </c>
      <c r="P712" t="s">
        <v>57</v>
      </c>
      <c r="Q712" t="s">
        <v>44</v>
      </c>
      <c r="R712">
        <v>2026</v>
      </c>
      <c r="S712">
        <f>IF(AND(HR_Employees[[#This Row],[Attrition]]="YES",HR_Employees[[#This Row],[Exit_Date]]&lt;&gt;""),YEAR(HR_Employees[[#This Row],[Exit_Date]]),"")</f>
        <v>2026</v>
      </c>
    </row>
    <row r="713" spans="1:19">
      <c r="A713" t="s">
        <v>1140</v>
      </c>
      <c r="B713" t="s">
        <v>806</v>
      </c>
      <c r="C713">
        <v>32</v>
      </c>
      <c r="D713" t="s">
        <v>31</v>
      </c>
      <c r="E713" t="s">
        <v>21</v>
      </c>
      <c r="F713" t="s">
        <v>151</v>
      </c>
      <c r="G713" t="s">
        <v>23</v>
      </c>
      <c r="H713" s="2">
        <v>41683</v>
      </c>
      <c r="I713" s="2" t="str">
        <f>IFERROR(VLOOKUP(HR_Employees[[#This Row],[Employee_ID]],'[1]Synthetic Exit Data'!$A$2:$E$235,4,0)," NA")</f>
        <v xml:space="preserve"> NA</v>
      </c>
      <c r="J713" t="s">
        <v>24</v>
      </c>
      <c r="K713">
        <v>3</v>
      </c>
      <c r="L713" s="3">
        <v>61153</v>
      </c>
      <c r="M713" t="s">
        <v>34</v>
      </c>
      <c r="N713" t="s">
        <v>26</v>
      </c>
      <c r="O713">
        <v>12.67</v>
      </c>
      <c r="P713" t="s">
        <v>27</v>
      </c>
      <c r="Q713" t="s">
        <v>62</v>
      </c>
      <c r="R713">
        <v>2014</v>
      </c>
      <c r="S713" t="str">
        <f>IF(AND(HR_Employees[[#This Row],[Attrition]]="YES",HR_Employees[[#This Row],[Exit_Date]]&lt;&gt;""),YEAR(HR_Employees[[#This Row],[Exit_Date]]),"")</f>
        <v/>
      </c>
    </row>
    <row r="714" spans="1:19">
      <c r="A714" t="s">
        <v>1141</v>
      </c>
      <c r="B714" t="s">
        <v>505</v>
      </c>
      <c r="C714">
        <v>59</v>
      </c>
      <c r="D714" t="s">
        <v>54</v>
      </c>
      <c r="E714" t="s">
        <v>21</v>
      </c>
      <c r="F714" t="s">
        <v>151</v>
      </c>
      <c r="G714" t="s">
        <v>23</v>
      </c>
      <c r="H714" s="2">
        <v>46155</v>
      </c>
      <c r="I714" s="2" t="str">
        <f>IFERROR(VLOOKUP(HR_Employees[[#This Row],[Employee_ID]],'[1]Synthetic Exit Data'!$A$2:$E$235,4,0)," NA")</f>
        <v xml:space="preserve"> NA</v>
      </c>
      <c r="J714" t="s">
        <v>24</v>
      </c>
      <c r="K714">
        <v>5</v>
      </c>
      <c r="L714" s="3">
        <v>37207</v>
      </c>
      <c r="M714" t="s">
        <v>42</v>
      </c>
      <c r="N714" t="s">
        <v>43</v>
      </c>
      <c r="O714">
        <v>0.42</v>
      </c>
      <c r="P714" t="s">
        <v>27</v>
      </c>
      <c r="Q714" t="s">
        <v>86</v>
      </c>
      <c r="R714">
        <v>2026</v>
      </c>
      <c r="S714" t="str">
        <f>IF(AND(HR_Employees[[#This Row],[Attrition]]="YES",HR_Employees[[#This Row],[Exit_Date]]&lt;&gt;""),YEAR(HR_Employees[[#This Row],[Exit_Date]]),"")</f>
        <v/>
      </c>
    </row>
    <row r="715" spans="1:19">
      <c r="A715" t="s">
        <v>1142</v>
      </c>
      <c r="B715" t="s">
        <v>1143</v>
      </c>
      <c r="C715">
        <v>45</v>
      </c>
      <c r="D715" t="s">
        <v>61</v>
      </c>
      <c r="E715" t="s">
        <v>32</v>
      </c>
      <c r="F715" t="s">
        <v>40</v>
      </c>
      <c r="G715" t="s">
        <v>33</v>
      </c>
      <c r="H715" s="2">
        <v>44087</v>
      </c>
      <c r="I715" s="2" t="str">
        <f>IFERROR(VLOOKUP(HR_Employees[[#This Row],[Employee_ID]],'[1]Synthetic Exit Data'!$A$2:$E$235,4,0)," NA")</f>
        <v xml:space="preserve"> NA</v>
      </c>
      <c r="J715" t="s">
        <v>24</v>
      </c>
      <c r="K715">
        <v>4</v>
      </c>
      <c r="L715" s="3">
        <v>161392</v>
      </c>
      <c r="M715" t="s">
        <v>25</v>
      </c>
      <c r="N715" t="s">
        <v>79</v>
      </c>
      <c r="O715">
        <v>6.08</v>
      </c>
      <c r="P715" t="s">
        <v>35</v>
      </c>
      <c r="Q715" t="s">
        <v>62</v>
      </c>
      <c r="R715">
        <v>2020</v>
      </c>
      <c r="S715" t="str">
        <f>IF(AND(HR_Employees[[#This Row],[Attrition]]="YES",HR_Employees[[#This Row],[Exit_Date]]&lt;&gt;""),YEAR(HR_Employees[[#This Row],[Exit_Date]]),"")</f>
        <v/>
      </c>
    </row>
    <row r="716" spans="1:19">
      <c r="A716" t="s">
        <v>1144</v>
      </c>
      <c r="B716" t="s">
        <v>408</v>
      </c>
      <c r="C716">
        <v>27</v>
      </c>
      <c r="D716" t="s">
        <v>31</v>
      </c>
      <c r="E716" t="s">
        <v>32</v>
      </c>
      <c r="F716" t="s">
        <v>55</v>
      </c>
      <c r="G716" t="s">
        <v>23</v>
      </c>
      <c r="H716" s="2">
        <v>42991</v>
      </c>
      <c r="I716" s="2" t="str">
        <f>IFERROR(VLOOKUP(HR_Employees[[#This Row],[Employee_ID]],'[1]Synthetic Exit Data'!$A$2:$E$235,4,0)," NA")</f>
        <v xml:space="preserve"> NA</v>
      </c>
      <c r="J716" t="s">
        <v>24</v>
      </c>
      <c r="K716">
        <v>2</v>
      </c>
      <c r="L716" s="3">
        <v>85660</v>
      </c>
      <c r="M716" t="s">
        <v>66</v>
      </c>
      <c r="N716" t="s">
        <v>79</v>
      </c>
      <c r="O716">
        <v>9.08</v>
      </c>
      <c r="P716" t="s">
        <v>57</v>
      </c>
      <c r="Q716" t="s">
        <v>44</v>
      </c>
      <c r="R716">
        <v>2017</v>
      </c>
      <c r="S716" t="str">
        <f>IF(AND(HR_Employees[[#This Row],[Attrition]]="YES",HR_Employees[[#This Row],[Exit_Date]]&lt;&gt;""),YEAR(HR_Employees[[#This Row],[Exit_Date]]),"")</f>
        <v/>
      </c>
    </row>
    <row r="717" spans="1:19">
      <c r="A717" t="s">
        <v>1145</v>
      </c>
      <c r="B717" t="s">
        <v>1146</v>
      </c>
      <c r="C717">
        <v>32</v>
      </c>
      <c r="D717" t="s">
        <v>31</v>
      </c>
      <c r="E717" t="s">
        <v>32</v>
      </c>
      <c r="F717" t="s">
        <v>55</v>
      </c>
      <c r="G717" t="s">
        <v>33</v>
      </c>
      <c r="H717" s="2">
        <v>42748</v>
      </c>
      <c r="I717" s="2" t="str">
        <f>IFERROR(VLOOKUP(HR_Employees[[#This Row],[Employee_ID]],'[1]Synthetic Exit Data'!$A$2:$E$235,4,0)," NA")</f>
        <v xml:space="preserve"> NA</v>
      </c>
      <c r="J717" t="s">
        <v>24</v>
      </c>
      <c r="K717">
        <v>1</v>
      </c>
      <c r="L717" s="3">
        <v>90055</v>
      </c>
      <c r="M717" t="s">
        <v>66</v>
      </c>
      <c r="N717" t="s">
        <v>79</v>
      </c>
      <c r="O717">
        <v>9.75</v>
      </c>
      <c r="P717" t="s">
        <v>83</v>
      </c>
      <c r="Q717" t="s">
        <v>62</v>
      </c>
      <c r="R717">
        <v>2017</v>
      </c>
      <c r="S717" t="str">
        <f>IF(AND(HR_Employees[[#This Row],[Attrition]]="YES",HR_Employees[[#This Row],[Exit_Date]]&lt;&gt;""),YEAR(HR_Employees[[#This Row],[Exit_Date]]),"")</f>
        <v/>
      </c>
    </row>
    <row r="718" spans="1:19">
      <c r="A718" t="s">
        <v>1147</v>
      </c>
      <c r="B718" t="s">
        <v>259</v>
      </c>
      <c r="C718">
        <v>32</v>
      </c>
      <c r="D718" t="s">
        <v>31</v>
      </c>
      <c r="E718" t="s">
        <v>32</v>
      </c>
      <c r="F718" t="s">
        <v>55</v>
      </c>
      <c r="G718" t="s">
        <v>23</v>
      </c>
      <c r="H718" s="2">
        <v>44452</v>
      </c>
      <c r="I718" s="2" t="str">
        <f>IFERROR(VLOOKUP(HR_Employees[[#This Row],[Employee_ID]],'[1]Synthetic Exit Data'!$A$2:$E$235,4,0)," NA")</f>
        <v xml:space="preserve"> NA</v>
      </c>
      <c r="J718" t="s">
        <v>24</v>
      </c>
      <c r="K718">
        <v>4</v>
      </c>
      <c r="L718" s="3">
        <v>98367</v>
      </c>
      <c r="M718" t="s">
        <v>66</v>
      </c>
      <c r="N718" t="s">
        <v>79</v>
      </c>
      <c r="O718">
        <v>5.08</v>
      </c>
      <c r="P718" t="s">
        <v>51</v>
      </c>
      <c r="Q718" t="s">
        <v>28</v>
      </c>
      <c r="R718">
        <v>2021</v>
      </c>
      <c r="S718" t="str">
        <f>IF(AND(HR_Employees[[#This Row],[Attrition]]="YES",HR_Employees[[#This Row],[Exit_Date]]&lt;&gt;""),YEAR(HR_Employees[[#This Row],[Exit_Date]]),"")</f>
        <v/>
      </c>
    </row>
    <row r="719" spans="1:19">
      <c r="A719" t="s">
        <v>1148</v>
      </c>
      <c r="B719" t="s">
        <v>467</v>
      </c>
      <c r="C719">
        <v>34</v>
      </c>
      <c r="D719" t="s">
        <v>31</v>
      </c>
      <c r="E719" t="s">
        <v>21</v>
      </c>
      <c r="F719" t="s">
        <v>47</v>
      </c>
      <c r="G719" t="s">
        <v>33</v>
      </c>
      <c r="H719" s="2">
        <v>41711</v>
      </c>
      <c r="I719" s="2" t="str">
        <f>IFERROR(VLOOKUP(HR_Employees[[#This Row],[Employee_ID]],'[1]Synthetic Exit Data'!$A$2:$E$235,4,0)," NA")</f>
        <v xml:space="preserve"> NA</v>
      </c>
      <c r="J719" t="s">
        <v>24</v>
      </c>
      <c r="K719">
        <v>3</v>
      </c>
      <c r="L719" s="3">
        <v>95771</v>
      </c>
      <c r="M719" t="s">
        <v>66</v>
      </c>
      <c r="N719" t="s">
        <v>26</v>
      </c>
      <c r="O719">
        <v>12.58</v>
      </c>
      <c r="P719" t="s">
        <v>57</v>
      </c>
      <c r="Q719" t="s">
        <v>76</v>
      </c>
      <c r="R719">
        <v>2014</v>
      </c>
      <c r="S719" t="str">
        <f>IF(AND(HR_Employees[[#This Row],[Attrition]]="YES",HR_Employees[[#This Row],[Exit_Date]]&lt;&gt;""),YEAR(HR_Employees[[#This Row],[Exit_Date]]),"")</f>
        <v/>
      </c>
    </row>
    <row r="720" spans="1:19">
      <c r="A720" t="s">
        <v>1149</v>
      </c>
      <c r="B720" t="s">
        <v>1150</v>
      </c>
      <c r="C720">
        <v>61</v>
      </c>
      <c r="D720" t="s">
        <v>54</v>
      </c>
      <c r="E720" t="s">
        <v>21</v>
      </c>
      <c r="F720" t="s">
        <v>55</v>
      </c>
      <c r="G720" t="s">
        <v>41</v>
      </c>
      <c r="H720" s="2">
        <v>46155</v>
      </c>
      <c r="I720" s="2" t="str">
        <f>IFERROR(VLOOKUP(HR_Employees[[#This Row],[Employee_ID]],'[1]Synthetic Exit Data'!$A$2:$E$235,4,0)," NA")</f>
        <v xml:space="preserve"> NA</v>
      </c>
      <c r="J720" t="s">
        <v>24</v>
      </c>
      <c r="K720">
        <v>4</v>
      </c>
      <c r="L720" s="3">
        <v>40739</v>
      </c>
      <c r="M720" t="s">
        <v>42</v>
      </c>
      <c r="N720" t="s">
        <v>43</v>
      </c>
      <c r="O720">
        <v>0.42</v>
      </c>
      <c r="P720" t="s">
        <v>35</v>
      </c>
      <c r="Q720" t="s">
        <v>62</v>
      </c>
      <c r="R720">
        <v>2026</v>
      </c>
      <c r="S720" t="str">
        <f>IF(AND(HR_Employees[[#This Row],[Attrition]]="YES",HR_Employees[[#This Row],[Exit_Date]]&lt;&gt;""),YEAR(HR_Employees[[#This Row],[Exit_Date]]),"")</f>
        <v/>
      </c>
    </row>
    <row r="721" spans="1:19">
      <c r="A721" t="s">
        <v>1151</v>
      </c>
      <c r="B721" t="s">
        <v>580</v>
      </c>
      <c r="C721">
        <v>30</v>
      </c>
      <c r="D721" t="s">
        <v>31</v>
      </c>
      <c r="E721" t="s">
        <v>32</v>
      </c>
      <c r="F721" t="s">
        <v>55</v>
      </c>
      <c r="G721" t="s">
        <v>23</v>
      </c>
      <c r="H721" s="2">
        <v>45120</v>
      </c>
      <c r="I721" s="2" t="str">
        <f>IFERROR(VLOOKUP(HR_Employees[[#This Row],[Employee_ID]],'[1]Synthetic Exit Data'!$A$2:$E$235,4,0)," NA")</f>
        <v xml:space="preserve"> NA</v>
      </c>
      <c r="J721" t="s">
        <v>24</v>
      </c>
      <c r="K721">
        <v>4</v>
      </c>
      <c r="L721" s="3">
        <v>157637</v>
      </c>
      <c r="M721" t="s">
        <v>25</v>
      </c>
      <c r="N721" t="s">
        <v>50</v>
      </c>
      <c r="O721">
        <v>3.25</v>
      </c>
      <c r="P721" t="s">
        <v>27</v>
      </c>
      <c r="Q721" t="s">
        <v>44</v>
      </c>
      <c r="R721">
        <v>2023</v>
      </c>
      <c r="S721" t="str">
        <f>IF(AND(HR_Employees[[#This Row],[Attrition]]="YES",HR_Employees[[#This Row],[Exit_Date]]&lt;&gt;""),YEAR(HR_Employees[[#This Row],[Exit_Date]]),"")</f>
        <v/>
      </c>
    </row>
    <row r="722" spans="1:19">
      <c r="A722" t="s">
        <v>1152</v>
      </c>
      <c r="B722" t="s">
        <v>395</v>
      </c>
      <c r="C722">
        <v>51</v>
      </c>
      <c r="D722" t="s">
        <v>20</v>
      </c>
      <c r="E722" t="s">
        <v>21</v>
      </c>
      <c r="F722" t="s">
        <v>40</v>
      </c>
      <c r="G722" t="s">
        <v>33</v>
      </c>
      <c r="H722" s="2">
        <v>44730</v>
      </c>
      <c r="I722" s="2" t="str">
        <f>IFERROR(VLOOKUP(HR_Employees[[#This Row],[Employee_ID]],'[1]Synthetic Exit Data'!$A$2:$E$235,4,0)," NA")</f>
        <v>2022-12-06</v>
      </c>
      <c r="J722" t="s">
        <v>49</v>
      </c>
      <c r="K722">
        <v>5</v>
      </c>
      <c r="L722" s="3">
        <v>37565</v>
      </c>
      <c r="M722" t="s">
        <v>42</v>
      </c>
      <c r="N722" t="s">
        <v>50</v>
      </c>
      <c r="O722">
        <v>4.17</v>
      </c>
      <c r="P722" t="s">
        <v>83</v>
      </c>
      <c r="Q722" t="s">
        <v>86</v>
      </c>
      <c r="R722">
        <v>2022</v>
      </c>
      <c r="S722">
        <f>IF(AND(HR_Employees[[#This Row],[Attrition]]="YES",HR_Employees[[#This Row],[Exit_Date]]&lt;&gt;""),YEAR(HR_Employees[[#This Row],[Exit_Date]]),"")</f>
        <v>2022</v>
      </c>
    </row>
    <row r="723" spans="1:19">
      <c r="A723" t="s">
        <v>1153</v>
      </c>
      <c r="B723" t="s">
        <v>785</v>
      </c>
      <c r="C723">
        <v>59</v>
      </c>
      <c r="D723" t="s">
        <v>54</v>
      </c>
      <c r="E723" t="s">
        <v>32</v>
      </c>
      <c r="F723" t="s">
        <v>55</v>
      </c>
      <c r="G723" t="s">
        <v>23</v>
      </c>
      <c r="H723" s="2">
        <v>45916</v>
      </c>
      <c r="I723" s="2" t="str">
        <f>IFERROR(VLOOKUP(HR_Employees[[#This Row],[Employee_ID]],'[1]Synthetic Exit Data'!$A$2:$E$235,4,0)," NA")</f>
        <v>2025-12-03</v>
      </c>
      <c r="J723" t="s">
        <v>49</v>
      </c>
      <c r="K723">
        <v>4</v>
      </c>
      <c r="L723" s="3">
        <v>32196</v>
      </c>
      <c r="M723" t="s">
        <v>42</v>
      </c>
      <c r="N723" t="s">
        <v>43</v>
      </c>
      <c r="O723">
        <v>0.92</v>
      </c>
      <c r="P723" t="s">
        <v>35</v>
      </c>
      <c r="Q723" t="s">
        <v>58</v>
      </c>
      <c r="R723">
        <v>2025</v>
      </c>
      <c r="S723">
        <f>IF(AND(HR_Employees[[#This Row],[Attrition]]="YES",HR_Employees[[#This Row],[Exit_Date]]&lt;&gt;""),YEAR(HR_Employees[[#This Row],[Exit_Date]]),"")</f>
        <v>2025</v>
      </c>
    </row>
    <row r="724" spans="1:19">
      <c r="A724" t="s">
        <v>1154</v>
      </c>
      <c r="B724" t="s">
        <v>487</v>
      </c>
      <c r="C724">
        <v>30</v>
      </c>
      <c r="D724" t="s">
        <v>31</v>
      </c>
      <c r="E724" t="s">
        <v>32</v>
      </c>
      <c r="F724" t="s">
        <v>22</v>
      </c>
      <c r="G724" t="s">
        <v>41</v>
      </c>
      <c r="H724" s="2">
        <v>45905</v>
      </c>
      <c r="I724" s="2" t="str">
        <f>IFERROR(VLOOKUP(HR_Employees[[#This Row],[Employee_ID]],'[1]Synthetic Exit Data'!$A$2:$E$235,4,0)," NA")</f>
        <v>2025-09-09</v>
      </c>
      <c r="J724" t="s">
        <v>49</v>
      </c>
      <c r="K724">
        <v>4</v>
      </c>
      <c r="L724" s="3">
        <v>28101</v>
      </c>
      <c r="M724" t="s">
        <v>82</v>
      </c>
      <c r="N724" t="s">
        <v>43</v>
      </c>
      <c r="O724">
        <v>1</v>
      </c>
      <c r="P724" t="s">
        <v>27</v>
      </c>
      <c r="Q724" t="s">
        <v>86</v>
      </c>
      <c r="R724">
        <v>2025</v>
      </c>
      <c r="S724">
        <f>IF(AND(HR_Employees[[#This Row],[Attrition]]="YES",HR_Employees[[#This Row],[Exit_Date]]&lt;&gt;""),YEAR(HR_Employees[[#This Row],[Exit_Date]]),"")</f>
        <v>2025</v>
      </c>
    </row>
    <row r="725" spans="1:19">
      <c r="A725" t="s">
        <v>1155</v>
      </c>
      <c r="B725" t="s">
        <v>676</v>
      </c>
      <c r="C725">
        <v>24</v>
      </c>
      <c r="D725" t="s">
        <v>39</v>
      </c>
      <c r="E725" t="s">
        <v>32</v>
      </c>
      <c r="F725" t="s">
        <v>40</v>
      </c>
      <c r="G725" t="s">
        <v>23</v>
      </c>
      <c r="H725" s="2">
        <v>40921</v>
      </c>
      <c r="I725" s="2" t="str">
        <f>IFERROR(VLOOKUP(HR_Employees[[#This Row],[Employee_ID]],'[1]Synthetic Exit Data'!$A$2:$E$235,4,0)," NA")</f>
        <v xml:space="preserve"> NA</v>
      </c>
      <c r="J725" t="s">
        <v>24</v>
      </c>
      <c r="K725">
        <v>4</v>
      </c>
      <c r="L725" s="3">
        <v>46760</v>
      </c>
      <c r="M725" t="s">
        <v>42</v>
      </c>
      <c r="N725" t="s">
        <v>26</v>
      </c>
      <c r="O725">
        <v>14.75</v>
      </c>
      <c r="P725" t="s">
        <v>27</v>
      </c>
      <c r="Q725" t="s">
        <v>58</v>
      </c>
      <c r="R725">
        <v>2012</v>
      </c>
      <c r="S725" t="str">
        <f>IF(AND(HR_Employees[[#This Row],[Attrition]]="YES",HR_Employees[[#This Row],[Exit_Date]]&lt;&gt;""),YEAR(HR_Employees[[#This Row],[Exit_Date]]),"")</f>
        <v/>
      </c>
    </row>
    <row r="726" spans="1:19">
      <c r="A726" t="s">
        <v>1156</v>
      </c>
      <c r="B726" t="s">
        <v>739</v>
      </c>
      <c r="C726">
        <v>23</v>
      </c>
      <c r="D726" t="s">
        <v>39</v>
      </c>
      <c r="E726" t="s">
        <v>32</v>
      </c>
      <c r="F726" t="s">
        <v>47</v>
      </c>
      <c r="G726" t="s">
        <v>23</v>
      </c>
      <c r="H726" s="2">
        <v>46050</v>
      </c>
      <c r="I726" s="2" t="str">
        <f>IFERROR(VLOOKUP(HR_Employees[[#This Row],[Employee_ID]],'[1]Synthetic Exit Data'!$A$2:$E$235,4,0)," NA")</f>
        <v>2026-02-13</v>
      </c>
      <c r="J726" t="s">
        <v>49</v>
      </c>
      <c r="K726">
        <v>3</v>
      </c>
      <c r="L726" s="3">
        <v>165441</v>
      </c>
      <c r="M726" t="s">
        <v>25</v>
      </c>
      <c r="N726" t="s">
        <v>43</v>
      </c>
      <c r="O726">
        <v>0.67</v>
      </c>
      <c r="P726" t="s">
        <v>35</v>
      </c>
      <c r="Q726" t="s">
        <v>76</v>
      </c>
      <c r="R726">
        <v>2026</v>
      </c>
      <c r="S726">
        <f>IF(AND(HR_Employees[[#This Row],[Attrition]]="YES",HR_Employees[[#This Row],[Exit_Date]]&lt;&gt;""),YEAR(HR_Employees[[#This Row],[Exit_Date]]),"")</f>
        <v>2026</v>
      </c>
    </row>
    <row r="727" spans="1:19">
      <c r="A727" t="s">
        <v>1157</v>
      </c>
      <c r="B727" t="s">
        <v>1116</v>
      </c>
      <c r="C727">
        <v>29</v>
      </c>
      <c r="D727" t="s">
        <v>31</v>
      </c>
      <c r="E727" t="s">
        <v>21</v>
      </c>
      <c r="F727" t="s">
        <v>151</v>
      </c>
      <c r="G727" t="s">
        <v>23</v>
      </c>
      <c r="H727" s="2">
        <v>45460</v>
      </c>
      <c r="I727" s="2" t="str">
        <f>IFERROR(VLOOKUP(HR_Employees[[#This Row],[Employee_ID]],'[1]Synthetic Exit Data'!$A$2:$E$235,4,0)," NA")</f>
        <v>2024-10-29</v>
      </c>
      <c r="J727" t="s">
        <v>49</v>
      </c>
      <c r="K727">
        <v>4</v>
      </c>
      <c r="L727" s="3">
        <v>49940</v>
      </c>
      <c r="M727" t="s">
        <v>42</v>
      </c>
      <c r="N727" t="s">
        <v>56</v>
      </c>
      <c r="O727">
        <v>2.25</v>
      </c>
      <c r="P727" t="s">
        <v>27</v>
      </c>
      <c r="Q727" t="s">
        <v>86</v>
      </c>
      <c r="R727">
        <v>2024</v>
      </c>
      <c r="S727">
        <f>IF(AND(HR_Employees[[#This Row],[Attrition]]="YES",HR_Employees[[#This Row],[Exit_Date]]&lt;&gt;""),YEAR(HR_Employees[[#This Row],[Exit_Date]]),"")</f>
        <v>2024</v>
      </c>
    </row>
    <row r="728" spans="1:19">
      <c r="A728" t="s">
        <v>1158</v>
      </c>
      <c r="B728" t="s">
        <v>1159</v>
      </c>
      <c r="C728">
        <v>33</v>
      </c>
      <c r="D728" t="s">
        <v>31</v>
      </c>
      <c r="E728" t="s">
        <v>32</v>
      </c>
      <c r="F728" t="s">
        <v>73</v>
      </c>
      <c r="G728" t="s">
        <v>23</v>
      </c>
      <c r="H728" s="2">
        <v>46059</v>
      </c>
      <c r="I728" s="2" t="str">
        <f>IFERROR(VLOOKUP(HR_Employees[[#This Row],[Employee_ID]],'[1]Synthetic Exit Data'!$A$2:$E$235,4,0)," NA")</f>
        <v>2026-03-02</v>
      </c>
      <c r="J728" t="s">
        <v>49</v>
      </c>
      <c r="K728">
        <v>4</v>
      </c>
      <c r="L728" s="3">
        <v>50580</v>
      </c>
      <c r="M728" t="s">
        <v>34</v>
      </c>
      <c r="N728" t="s">
        <v>43</v>
      </c>
      <c r="O728">
        <v>0.57999999999999996</v>
      </c>
      <c r="P728" t="s">
        <v>125</v>
      </c>
      <c r="Q728" t="s">
        <v>58</v>
      </c>
      <c r="R728">
        <v>2026</v>
      </c>
      <c r="S728">
        <f>IF(AND(HR_Employees[[#This Row],[Attrition]]="YES",HR_Employees[[#This Row],[Exit_Date]]&lt;&gt;""),YEAR(HR_Employees[[#This Row],[Exit_Date]]),"")</f>
        <v>2026</v>
      </c>
    </row>
    <row r="729" spans="1:19">
      <c r="A729" t="s">
        <v>1160</v>
      </c>
      <c r="B729" t="s">
        <v>1161</v>
      </c>
      <c r="C729">
        <v>32</v>
      </c>
      <c r="D729" t="s">
        <v>31</v>
      </c>
      <c r="E729" t="s">
        <v>32</v>
      </c>
      <c r="F729" t="s">
        <v>55</v>
      </c>
      <c r="G729" t="s">
        <v>23</v>
      </c>
      <c r="H729" s="2">
        <v>43417</v>
      </c>
      <c r="I729" s="2" t="str">
        <f>IFERROR(VLOOKUP(HR_Employees[[#This Row],[Employee_ID]],'[1]Synthetic Exit Data'!$A$2:$E$235,4,0)," NA")</f>
        <v xml:space="preserve"> NA</v>
      </c>
      <c r="J729" t="s">
        <v>24</v>
      </c>
      <c r="K729">
        <v>2</v>
      </c>
      <c r="L729" s="3">
        <v>47216</v>
      </c>
      <c r="M729" t="s">
        <v>42</v>
      </c>
      <c r="N729" t="s">
        <v>79</v>
      </c>
      <c r="O729">
        <v>7.92</v>
      </c>
      <c r="P729" t="s">
        <v>27</v>
      </c>
      <c r="Q729" t="s">
        <v>62</v>
      </c>
      <c r="R729">
        <v>2018</v>
      </c>
      <c r="S729" t="str">
        <f>IF(AND(HR_Employees[[#This Row],[Attrition]]="YES",HR_Employees[[#This Row],[Exit_Date]]&lt;&gt;""),YEAR(HR_Employees[[#This Row],[Exit_Date]]),"")</f>
        <v/>
      </c>
    </row>
    <row r="730" spans="1:19">
      <c r="A730" t="s">
        <v>1162</v>
      </c>
      <c r="B730" t="s">
        <v>1163</v>
      </c>
      <c r="C730">
        <v>42</v>
      </c>
      <c r="D730" t="s">
        <v>61</v>
      </c>
      <c r="E730" t="s">
        <v>21</v>
      </c>
      <c r="F730" t="s">
        <v>47</v>
      </c>
      <c r="G730" t="s">
        <v>23</v>
      </c>
      <c r="H730" s="2">
        <v>46125</v>
      </c>
      <c r="I730" s="2" t="str">
        <f>IFERROR(VLOOKUP(HR_Employees[[#This Row],[Employee_ID]],'[1]Synthetic Exit Data'!$A$2:$E$235,4,0)," NA")</f>
        <v xml:space="preserve"> NA</v>
      </c>
      <c r="J730" t="s">
        <v>24</v>
      </c>
      <c r="K730">
        <v>4</v>
      </c>
      <c r="L730" s="3">
        <v>50186</v>
      </c>
      <c r="M730" t="s">
        <v>34</v>
      </c>
      <c r="N730" t="s">
        <v>43</v>
      </c>
      <c r="O730">
        <v>0.5</v>
      </c>
      <c r="P730" t="s">
        <v>125</v>
      </c>
      <c r="Q730" t="s">
        <v>28</v>
      </c>
      <c r="R730">
        <v>2026</v>
      </c>
      <c r="S730" t="str">
        <f>IF(AND(HR_Employees[[#This Row],[Attrition]]="YES",HR_Employees[[#This Row],[Exit_Date]]&lt;&gt;""),YEAR(HR_Employees[[#This Row],[Exit_Date]]),"")</f>
        <v/>
      </c>
    </row>
    <row r="731" spans="1:19">
      <c r="A731" t="s">
        <v>1164</v>
      </c>
      <c r="B731" t="s">
        <v>773</v>
      </c>
      <c r="C731">
        <v>32</v>
      </c>
      <c r="D731" t="s">
        <v>31</v>
      </c>
      <c r="E731" t="s">
        <v>21</v>
      </c>
      <c r="F731" t="s">
        <v>55</v>
      </c>
      <c r="G731" t="s">
        <v>23</v>
      </c>
      <c r="H731" s="2">
        <v>46035</v>
      </c>
      <c r="I731" s="2" t="str">
        <f>IFERROR(VLOOKUP(HR_Employees[[#This Row],[Employee_ID]],'[1]Synthetic Exit Data'!$A$2:$E$235,4,0)," NA")</f>
        <v xml:space="preserve"> NA</v>
      </c>
      <c r="J731" t="s">
        <v>24</v>
      </c>
      <c r="K731">
        <v>3</v>
      </c>
      <c r="L731" s="3">
        <v>30592</v>
      </c>
      <c r="M731" t="s">
        <v>42</v>
      </c>
      <c r="N731" t="s">
        <v>43</v>
      </c>
      <c r="O731">
        <v>0.75</v>
      </c>
      <c r="P731" t="s">
        <v>51</v>
      </c>
      <c r="Q731" t="s">
        <v>44</v>
      </c>
      <c r="R731">
        <v>2026</v>
      </c>
      <c r="S731" t="str">
        <f>IF(AND(HR_Employees[[#This Row],[Attrition]]="YES",HR_Employees[[#This Row],[Exit_Date]]&lt;&gt;""),YEAR(HR_Employees[[#This Row],[Exit_Date]]),"")</f>
        <v/>
      </c>
    </row>
    <row r="732" spans="1:19">
      <c r="A732" t="s">
        <v>1165</v>
      </c>
      <c r="B732" t="s">
        <v>332</v>
      </c>
      <c r="C732">
        <v>39</v>
      </c>
      <c r="D732" t="s">
        <v>61</v>
      </c>
      <c r="E732" t="s">
        <v>21</v>
      </c>
      <c r="F732" t="s">
        <v>22</v>
      </c>
      <c r="G732" t="s">
        <v>33</v>
      </c>
      <c r="H732" s="2">
        <v>43386</v>
      </c>
      <c r="I732" s="2" t="str">
        <f>IFERROR(VLOOKUP(HR_Employees[[#This Row],[Employee_ID]],'[1]Synthetic Exit Data'!$A$2:$E$235,4,0)," NA")</f>
        <v xml:space="preserve"> NA</v>
      </c>
      <c r="J732" t="s">
        <v>24</v>
      </c>
      <c r="K732">
        <v>4</v>
      </c>
      <c r="L732" s="3">
        <v>54830</v>
      </c>
      <c r="M732" t="s">
        <v>34</v>
      </c>
      <c r="N732" t="s">
        <v>79</v>
      </c>
      <c r="O732">
        <v>8</v>
      </c>
      <c r="P732" t="s">
        <v>57</v>
      </c>
      <c r="Q732" t="s">
        <v>58</v>
      </c>
      <c r="R732">
        <v>2018</v>
      </c>
      <c r="S732" t="str">
        <f>IF(AND(HR_Employees[[#This Row],[Attrition]]="YES",HR_Employees[[#This Row],[Exit_Date]]&lt;&gt;""),YEAR(HR_Employees[[#This Row],[Exit_Date]]),"")</f>
        <v/>
      </c>
    </row>
    <row r="733" spans="1:19">
      <c r="A733" t="s">
        <v>1166</v>
      </c>
      <c r="B733" t="s">
        <v>412</v>
      </c>
      <c r="C733">
        <v>55</v>
      </c>
      <c r="D733" t="s">
        <v>20</v>
      </c>
      <c r="E733" t="s">
        <v>32</v>
      </c>
      <c r="F733" t="s">
        <v>40</v>
      </c>
      <c r="G733" t="s">
        <v>48</v>
      </c>
      <c r="H733" s="2">
        <v>44360</v>
      </c>
      <c r="I733" s="2" t="str">
        <f>IFERROR(VLOOKUP(HR_Employees[[#This Row],[Employee_ID]],'[1]Synthetic Exit Data'!$A$2:$E$235,4,0)," NA")</f>
        <v xml:space="preserve"> NA</v>
      </c>
      <c r="J733" t="s">
        <v>24</v>
      </c>
      <c r="K733">
        <v>2</v>
      </c>
      <c r="L733" s="3">
        <v>94506</v>
      </c>
      <c r="M733" t="s">
        <v>66</v>
      </c>
      <c r="N733" t="s">
        <v>79</v>
      </c>
      <c r="O733">
        <v>5.33</v>
      </c>
      <c r="P733" t="s">
        <v>35</v>
      </c>
      <c r="Q733" t="s">
        <v>76</v>
      </c>
      <c r="R733">
        <v>2021</v>
      </c>
      <c r="S733" t="str">
        <f>IF(AND(HR_Employees[[#This Row],[Attrition]]="YES",HR_Employees[[#This Row],[Exit_Date]]&lt;&gt;""),YEAR(HR_Employees[[#This Row],[Exit_Date]]),"")</f>
        <v/>
      </c>
    </row>
    <row r="734" spans="1:19">
      <c r="A734" t="s">
        <v>1167</v>
      </c>
      <c r="B734" t="s">
        <v>1017</v>
      </c>
      <c r="C734">
        <v>32</v>
      </c>
      <c r="D734" t="s">
        <v>31</v>
      </c>
      <c r="E734" t="s">
        <v>21</v>
      </c>
      <c r="F734" t="s">
        <v>151</v>
      </c>
      <c r="G734" t="s">
        <v>114</v>
      </c>
      <c r="H734" s="2">
        <v>44725</v>
      </c>
      <c r="I734" s="2" t="str">
        <f>IFERROR(VLOOKUP(HR_Employees[[#This Row],[Employee_ID]],'[1]Synthetic Exit Data'!$A$2:$E$235,4,0)," NA")</f>
        <v xml:space="preserve"> NA</v>
      </c>
      <c r="J734" t="s">
        <v>24</v>
      </c>
      <c r="K734">
        <v>3</v>
      </c>
      <c r="L734" s="3">
        <v>55361</v>
      </c>
      <c r="M734" t="s">
        <v>34</v>
      </c>
      <c r="N734" t="s">
        <v>50</v>
      </c>
      <c r="O734">
        <v>4.33</v>
      </c>
      <c r="P734" t="s">
        <v>57</v>
      </c>
      <c r="Q734" t="s">
        <v>44</v>
      </c>
      <c r="R734">
        <v>2022</v>
      </c>
      <c r="S734" t="str">
        <f>IF(AND(HR_Employees[[#This Row],[Attrition]]="YES",HR_Employees[[#This Row],[Exit_Date]]&lt;&gt;""),YEAR(HR_Employees[[#This Row],[Exit_Date]]),"")</f>
        <v/>
      </c>
    </row>
    <row r="735" spans="1:19">
      <c r="A735" t="s">
        <v>1168</v>
      </c>
      <c r="B735" t="s">
        <v>974</v>
      </c>
      <c r="C735">
        <v>56</v>
      </c>
      <c r="D735" t="s">
        <v>54</v>
      </c>
      <c r="E735" t="s">
        <v>32</v>
      </c>
      <c r="F735" t="s">
        <v>47</v>
      </c>
      <c r="G735" t="s">
        <v>23</v>
      </c>
      <c r="H735" s="2">
        <v>45182</v>
      </c>
      <c r="I735" s="2" t="str">
        <f>IFERROR(VLOOKUP(HR_Employees[[#This Row],[Employee_ID]],'[1]Synthetic Exit Data'!$A$2:$E$235,4,0)," NA")</f>
        <v xml:space="preserve"> NA</v>
      </c>
      <c r="J735" t="s">
        <v>24</v>
      </c>
      <c r="K735">
        <v>4</v>
      </c>
      <c r="L735" s="3">
        <v>54998</v>
      </c>
      <c r="M735" t="s">
        <v>34</v>
      </c>
      <c r="N735" t="s">
        <v>50</v>
      </c>
      <c r="O735">
        <v>3.08</v>
      </c>
      <c r="P735" t="s">
        <v>57</v>
      </c>
      <c r="Q735" t="s">
        <v>58</v>
      </c>
      <c r="R735">
        <v>2023</v>
      </c>
      <c r="S735" t="str">
        <f>IF(AND(HR_Employees[[#This Row],[Attrition]]="YES",HR_Employees[[#This Row],[Exit_Date]]&lt;&gt;""),YEAR(HR_Employees[[#This Row],[Exit_Date]]),"")</f>
        <v/>
      </c>
    </row>
    <row r="736" spans="1:19">
      <c r="A736" t="s">
        <v>1169</v>
      </c>
      <c r="B736" t="s">
        <v>899</v>
      </c>
      <c r="C736">
        <v>26</v>
      </c>
      <c r="D736" t="s">
        <v>31</v>
      </c>
      <c r="E736" t="s">
        <v>21</v>
      </c>
      <c r="F736" t="s">
        <v>40</v>
      </c>
      <c r="G736" t="s">
        <v>23</v>
      </c>
      <c r="H736" s="2">
        <v>43325</v>
      </c>
      <c r="I736" s="2" t="str">
        <f>IFERROR(VLOOKUP(HR_Employees[[#This Row],[Employee_ID]],'[1]Synthetic Exit Data'!$A$2:$E$235,4,0)," NA")</f>
        <v xml:space="preserve"> NA</v>
      </c>
      <c r="J736" t="s">
        <v>24</v>
      </c>
      <c r="K736">
        <v>5</v>
      </c>
      <c r="L736" s="3">
        <v>49862</v>
      </c>
      <c r="M736" t="s">
        <v>42</v>
      </c>
      <c r="N736" t="s">
        <v>79</v>
      </c>
      <c r="O736">
        <v>8.17</v>
      </c>
      <c r="P736" t="s">
        <v>27</v>
      </c>
      <c r="Q736" t="s">
        <v>28</v>
      </c>
      <c r="R736">
        <v>2018</v>
      </c>
      <c r="S736" t="str">
        <f>IF(AND(HR_Employees[[#This Row],[Attrition]]="YES",HR_Employees[[#This Row],[Exit_Date]]&lt;&gt;""),YEAR(HR_Employees[[#This Row],[Exit_Date]]),"")</f>
        <v/>
      </c>
    </row>
    <row r="737" spans="1:19">
      <c r="A737" t="s">
        <v>1170</v>
      </c>
      <c r="B737" t="s">
        <v>218</v>
      </c>
      <c r="C737">
        <v>41</v>
      </c>
      <c r="D737" t="s">
        <v>61</v>
      </c>
      <c r="E737" t="s">
        <v>21</v>
      </c>
      <c r="F737" t="s">
        <v>73</v>
      </c>
      <c r="G737" t="s">
        <v>48</v>
      </c>
      <c r="H737" s="2">
        <v>46125</v>
      </c>
      <c r="I737" s="2" t="str">
        <f>IFERROR(VLOOKUP(HR_Employees[[#This Row],[Employee_ID]],'[1]Synthetic Exit Data'!$A$2:$E$235,4,0)," NA")</f>
        <v xml:space="preserve"> NA</v>
      </c>
      <c r="J737" t="s">
        <v>24</v>
      </c>
      <c r="K737">
        <v>1</v>
      </c>
      <c r="L737" s="3">
        <v>88429</v>
      </c>
      <c r="M737" t="s">
        <v>66</v>
      </c>
      <c r="N737" t="s">
        <v>43</v>
      </c>
      <c r="O737">
        <v>0.5</v>
      </c>
      <c r="P737" t="s">
        <v>125</v>
      </c>
      <c r="Q737" t="s">
        <v>58</v>
      </c>
      <c r="R737">
        <v>2026</v>
      </c>
      <c r="S737" t="str">
        <f>IF(AND(HR_Employees[[#This Row],[Attrition]]="YES",HR_Employees[[#This Row],[Exit_Date]]&lt;&gt;""),YEAR(HR_Employees[[#This Row],[Exit_Date]]),"")</f>
        <v/>
      </c>
    </row>
    <row r="738" spans="1:19">
      <c r="A738" t="s">
        <v>1171</v>
      </c>
      <c r="B738" t="s">
        <v>543</v>
      </c>
      <c r="C738">
        <v>44</v>
      </c>
      <c r="D738" t="s">
        <v>61</v>
      </c>
      <c r="E738" t="s">
        <v>21</v>
      </c>
      <c r="F738" t="s">
        <v>47</v>
      </c>
      <c r="G738" t="s">
        <v>48</v>
      </c>
      <c r="H738" s="2">
        <v>45954</v>
      </c>
      <c r="I738" s="2" t="str">
        <f>IFERROR(VLOOKUP(HR_Employees[[#This Row],[Employee_ID]],'[1]Synthetic Exit Data'!$A$2:$E$235,4,0)," NA")</f>
        <v>2025-10-28</v>
      </c>
      <c r="J738" t="s">
        <v>49</v>
      </c>
      <c r="K738">
        <v>4</v>
      </c>
      <c r="L738" s="3">
        <v>19527</v>
      </c>
      <c r="M738" t="s">
        <v>82</v>
      </c>
      <c r="N738" t="s">
        <v>43</v>
      </c>
      <c r="O738">
        <v>0.92</v>
      </c>
      <c r="P738" t="s">
        <v>27</v>
      </c>
      <c r="Q738" t="s">
        <v>76</v>
      </c>
      <c r="R738">
        <v>2025</v>
      </c>
      <c r="S738">
        <f>IF(AND(HR_Employees[[#This Row],[Attrition]]="YES",HR_Employees[[#This Row],[Exit_Date]]&lt;&gt;""),YEAR(HR_Employees[[#This Row],[Exit_Date]]),"")</f>
        <v>2025</v>
      </c>
    </row>
    <row r="739" spans="1:19">
      <c r="A739" t="s">
        <v>1172</v>
      </c>
      <c r="B739" t="s">
        <v>1173</v>
      </c>
      <c r="C739">
        <v>35</v>
      </c>
      <c r="D739" t="s">
        <v>31</v>
      </c>
      <c r="E739" t="s">
        <v>32</v>
      </c>
      <c r="F739" t="s">
        <v>22</v>
      </c>
      <c r="G739" t="s">
        <v>23</v>
      </c>
      <c r="H739" s="2">
        <v>44847</v>
      </c>
      <c r="I739" s="2" t="str">
        <f>IFERROR(VLOOKUP(HR_Employees[[#This Row],[Employee_ID]],'[1]Synthetic Exit Data'!$A$2:$E$235,4,0)," NA")</f>
        <v xml:space="preserve"> NA</v>
      </c>
      <c r="J739" t="s">
        <v>24</v>
      </c>
      <c r="K739">
        <v>5</v>
      </c>
      <c r="L739" s="3">
        <v>21956</v>
      </c>
      <c r="M739" t="s">
        <v>82</v>
      </c>
      <c r="N739" t="s">
        <v>50</v>
      </c>
      <c r="O739">
        <v>4</v>
      </c>
      <c r="P739" t="s">
        <v>83</v>
      </c>
      <c r="Q739" t="s">
        <v>92</v>
      </c>
      <c r="R739">
        <v>2022</v>
      </c>
      <c r="S739" t="str">
        <f>IF(AND(HR_Employees[[#This Row],[Attrition]]="YES",HR_Employees[[#This Row],[Exit_Date]]&lt;&gt;""),YEAR(HR_Employees[[#This Row],[Exit_Date]]),"")</f>
        <v/>
      </c>
    </row>
    <row r="740" spans="1:19">
      <c r="A740" t="s">
        <v>1174</v>
      </c>
      <c r="B740" t="s">
        <v>348</v>
      </c>
      <c r="C740">
        <v>23</v>
      </c>
      <c r="D740" t="s">
        <v>39</v>
      </c>
      <c r="E740" t="s">
        <v>21</v>
      </c>
      <c r="F740" t="s">
        <v>55</v>
      </c>
      <c r="G740" t="s">
        <v>23</v>
      </c>
      <c r="H740" s="2">
        <v>42532</v>
      </c>
      <c r="I740" s="2" t="str">
        <f>IFERROR(VLOOKUP(HR_Employees[[#This Row],[Employee_ID]],'[1]Synthetic Exit Data'!$A$2:$E$235,4,0)," NA")</f>
        <v>2020-06-21</v>
      </c>
      <c r="J740" t="s">
        <v>49</v>
      </c>
      <c r="K740">
        <v>3</v>
      </c>
      <c r="L740" s="3">
        <v>89599</v>
      </c>
      <c r="M740" t="s">
        <v>66</v>
      </c>
      <c r="N740" t="s">
        <v>26</v>
      </c>
      <c r="O740">
        <v>10.17</v>
      </c>
      <c r="P740" t="s">
        <v>27</v>
      </c>
      <c r="Q740" t="s">
        <v>92</v>
      </c>
      <c r="R740">
        <v>2016</v>
      </c>
      <c r="S740">
        <f>IF(AND(HR_Employees[[#This Row],[Attrition]]="YES",HR_Employees[[#This Row],[Exit_Date]]&lt;&gt;""),YEAR(HR_Employees[[#This Row],[Exit_Date]]),"")</f>
        <v>2020</v>
      </c>
    </row>
    <row r="741" spans="1:19">
      <c r="A741" t="s">
        <v>1175</v>
      </c>
      <c r="B741" t="s">
        <v>169</v>
      </c>
      <c r="C741">
        <v>32</v>
      </c>
      <c r="D741" t="s">
        <v>31</v>
      </c>
      <c r="E741" t="s">
        <v>21</v>
      </c>
      <c r="F741" t="s">
        <v>55</v>
      </c>
      <c r="G741" t="s">
        <v>23</v>
      </c>
      <c r="H741" s="2">
        <v>40556</v>
      </c>
      <c r="I741" s="2" t="str">
        <f>IFERROR(VLOOKUP(HR_Employees[[#This Row],[Employee_ID]],'[1]Synthetic Exit Data'!$A$2:$E$235,4,0)," NA")</f>
        <v xml:space="preserve"> NA</v>
      </c>
      <c r="J741" t="s">
        <v>24</v>
      </c>
      <c r="K741">
        <v>3</v>
      </c>
      <c r="L741" s="3">
        <v>29011</v>
      </c>
      <c r="M741" t="s">
        <v>82</v>
      </c>
      <c r="N741" t="s">
        <v>26</v>
      </c>
      <c r="O741">
        <v>15.75</v>
      </c>
      <c r="P741" t="s">
        <v>125</v>
      </c>
      <c r="Q741" t="s">
        <v>62</v>
      </c>
      <c r="R741">
        <v>2011</v>
      </c>
      <c r="S741" t="str">
        <f>IF(AND(HR_Employees[[#This Row],[Attrition]]="YES",HR_Employees[[#This Row],[Exit_Date]]&lt;&gt;""),YEAR(HR_Employees[[#This Row],[Exit_Date]]),"")</f>
        <v/>
      </c>
    </row>
    <row r="742" spans="1:19">
      <c r="A742" t="s">
        <v>1176</v>
      </c>
      <c r="B742" t="s">
        <v>427</v>
      </c>
      <c r="C742">
        <v>52</v>
      </c>
      <c r="D742" t="s">
        <v>20</v>
      </c>
      <c r="E742" t="s">
        <v>32</v>
      </c>
      <c r="F742" t="s">
        <v>151</v>
      </c>
      <c r="G742" t="s">
        <v>41</v>
      </c>
      <c r="H742" s="2">
        <v>44998</v>
      </c>
      <c r="I742" s="2" t="str">
        <f>IFERROR(VLOOKUP(HR_Employees[[#This Row],[Employee_ID]],'[1]Synthetic Exit Data'!$A$2:$E$235,4,0)," NA")</f>
        <v xml:space="preserve"> NA</v>
      </c>
      <c r="J742" t="s">
        <v>24</v>
      </c>
      <c r="K742">
        <v>3</v>
      </c>
      <c r="L742" s="3">
        <v>74803</v>
      </c>
      <c r="M742" t="s">
        <v>34</v>
      </c>
      <c r="N742" t="s">
        <v>50</v>
      </c>
      <c r="O742">
        <v>3.58</v>
      </c>
      <c r="P742" t="s">
        <v>51</v>
      </c>
      <c r="Q742" t="s">
        <v>76</v>
      </c>
      <c r="R742">
        <v>2023</v>
      </c>
      <c r="S742" t="str">
        <f>IF(AND(HR_Employees[[#This Row],[Attrition]]="YES",HR_Employees[[#This Row],[Exit_Date]]&lt;&gt;""),YEAR(HR_Employees[[#This Row],[Exit_Date]]),"")</f>
        <v/>
      </c>
    </row>
    <row r="743" spans="1:19">
      <c r="A743" t="s">
        <v>1177</v>
      </c>
      <c r="B743" t="s">
        <v>240</v>
      </c>
      <c r="C743">
        <v>40</v>
      </c>
      <c r="D743" t="s">
        <v>61</v>
      </c>
      <c r="E743" t="s">
        <v>32</v>
      </c>
      <c r="F743" t="s">
        <v>151</v>
      </c>
      <c r="G743" t="s">
        <v>41</v>
      </c>
      <c r="H743" s="2">
        <v>45974</v>
      </c>
      <c r="I743" s="2" t="str">
        <f>IFERROR(VLOOKUP(HR_Employees[[#This Row],[Employee_ID]],'[1]Synthetic Exit Data'!$A$2:$E$235,4,0)," NA")</f>
        <v xml:space="preserve"> NA</v>
      </c>
      <c r="J743" t="s">
        <v>24</v>
      </c>
      <c r="K743">
        <v>1</v>
      </c>
      <c r="L743" s="3">
        <v>25659</v>
      </c>
      <c r="M743" t="s">
        <v>82</v>
      </c>
      <c r="N743" t="s">
        <v>43</v>
      </c>
      <c r="O743">
        <v>0.92</v>
      </c>
      <c r="P743" t="s">
        <v>51</v>
      </c>
      <c r="Q743" t="s">
        <v>62</v>
      </c>
      <c r="R743">
        <v>2025</v>
      </c>
      <c r="S743" t="str">
        <f>IF(AND(HR_Employees[[#This Row],[Attrition]]="YES",HR_Employees[[#This Row],[Exit_Date]]&lt;&gt;""),YEAR(HR_Employees[[#This Row],[Exit_Date]]),"")</f>
        <v/>
      </c>
    </row>
    <row r="744" spans="1:19">
      <c r="A744" t="s">
        <v>1178</v>
      </c>
      <c r="B744" t="s">
        <v>1179</v>
      </c>
      <c r="C744">
        <v>32</v>
      </c>
      <c r="D744" t="s">
        <v>31</v>
      </c>
      <c r="E744" t="s">
        <v>32</v>
      </c>
      <c r="F744" t="s">
        <v>65</v>
      </c>
      <c r="G744" t="s">
        <v>48</v>
      </c>
      <c r="H744" s="2">
        <v>44619</v>
      </c>
      <c r="I744" s="2" t="str">
        <f>IFERROR(VLOOKUP(HR_Employees[[#This Row],[Employee_ID]],'[1]Synthetic Exit Data'!$A$2:$E$235,4,0)," NA")</f>
        <v>2022-04-13</v>
      </c>
      <c r="J744" t="s">
        <v>49</v>
      </c>
      <c r="K744">
        <v>3</v>
      </c>
      <c r="L744" s="3">
        <v>91675</v>
      </c>
      <c r="M744" t="s">
        <v>66</v>
      </c>
      <c r="N744" t="s">
        <v>50</v>
      </c>
      <c r="O744">
        <v>4.5</v>
      </c>
      <c r="P744" t="s">
        <v>35</v>
      </c>
      <c r="Q744" t="s">
        <v>28</v>
      </c>
      <c r="R744">
        <v>2022</v>
      </c>
      <c r="S744">
        <f>IF(AND(HR_Employees[[#This Row],[Attrition]]="YES",HR_Employees[[#This Row],[Exit_Date]]&lt;&gt;""),YEAR(HR_Employees[[#This Row],[Exit_Date]]),"")</f>
        <v>2022</v>
      </c>
    </row>
    <row r="745" spans="1:19">
      <c r="A745" t="s">
        <v>1180</v>
      </c>
      <c r="B745" t="s">
        <v>716</v>
      </c>
      <c r="C745">
        <v>23</v>
      </c>
      <c r="D745" t="s">
        <v>39</v>
      </c>
      <c r="E745" t="s">
        <v>21</v>
      </c>
      <c r="F745" t="s">
        <v>73</v>
      </c>
      <c r="G745" t="s">
        <v>48</v>
      </c>
      <c r="H745" s="2">
        <v>45913</v>
      </c>
      <c r="I745" s="2" t="str">
        <f>IFERROR(VLOOKUP(HR_Employees[[#This Row],[Employee_ID]],'[1]Synthetic Exit Data'!$A$2:$E$235,4,0)," NA")</f>
        <v xml:space="preserve"> NA</v>
      </c>
      <c r="J745" t="s">
        <v>24</v>
      </c>
      <c r="K745">
        <v>2</v>
      </c>
      <c r="L745" s="3">
        <v>48310</v>
      </c>
      <c r="M745" t="s">
        <v>42</v>
      </c>
      <c r="N745" t="s">
        <v>56</v>
      </c>
      <c r="O745">
        <v>1.08</v>
      </c>
      <c r="P745" t="s">
        <v>125</v>
      </c>
      <c r="Q745" t="s">
        <v>28</v>
      </c>
      <c r="R745">
        <v>2025</v>
      </c>
      <c r="S745" t="str">
        <f>IF(AND(HR_Employees[[#This Row],[Attrition]]="YES",HR_Employees[[#This Row],[Exit_Date]]&lt;&gt;""),YEAR(HR_Employees[[#This Row],[Exit_Date]]),"")</f>
        <v/>
      </c>
    </row>
    <row r="746" spans="1:19">
      <c r="A746" t="s">
        <v>1181</v>
      </c>
      <c r="B746" t="s">
        <v>1150</v>
      </c>
      <c r="C746">
        <v>22</v>
      </c>
      <c r="D746" t="s">
        <v>39</v>
      </c>
      <c r="E746" t="s">
        <v>32</v>
      </c>
      <c r="F746" t="s">
        <v>40</v>
      </c>
      <c r="G746" t="s">
        <v>33</v>
      </c>
      <c r="H746" s="2">
        <v>41227</v>
      </c>
      <c r="I746" s="2" t="str">
        <f>IFERROR(VLOOKUP(HR_Employees[[#This Row],[Employee_ID]],'[1]Synthetic Exit Data'!$A$2:$E$235,4,0)," NA")</f>
        <v>2017-01-21</v>
      </c>
      <c r="J746" t="s">
        <v>49</v>
      </c>
      <c r="K746">
        <v>4</v>
      </c>
      <c r="L746" s="3">
        <v>31841</v>
      </c>
      <c r="M746" t="s">
        <v>42</v>
      </c>
      <c r="N746" t="s">
        <v>26</v>
      </c>
      <c r="O746">
        <v>13.75</v>
      </c>
      <c r="P746" t="s">
        <v>35</v>
      </c>
      <c r="Q746" t="s">
        <v>62</v>
      </c>
      <c r="R746">
        <v>2012</v>
      </c>
      <c r="S746">
        <f>IF(AND(HR_Employees[[#This Row],[Attrition]]="YES",HR_Employees[[#This Row],[Exit_Date]]&lt;&gt;""),YEAR(HR_Employees[[#This Row],[Exit_Date]]),"")</f>
        <v>2017</v>
      </c>
    </row>
    <row r="747" spans="1:19">
      <c r="A747" t="s">
        <v>1182</v>
      </c>
      <c r="B747" t="s">
        <v>857</v>
      </c>
      <c r="C747">
        <v>27</v>
      </c>
      <c r="D747" t="s">
        <v>31</v>
      </c>
      <c r="E747" t="s">
        <v>21</v>
      </c>
      <c r="F747" t="s">
        <v>73</v>
      </c>
      <c r="G747" t="s">
        <v>41</v>
      </c>
      <c r="H747" s="2">
        <v>46120</v>
      </c>
      <c r="I747" s="2" t="str">
        <f>IFERROR(VLOOKUP(HR_Employees[[#This Row],[Employee_ID]],'[1]Synthetic Exit Data'!$A$2:$E$235,4,0)," NA")</f>
        <v>2026-04-30</v>
      </c>
      <c r="J747" t="s">
        <v>49</v>
      </c>
      <c r="K747">
        <v>3</v>
      </c>
      <c r="L747" s="3">
        <v>85701</v>
      </c>
      <c r="M747" t="s">
        <v>66</v>
      </c>
      <c r="N747" t="s">
        <v>43</v>
      </c>
      <c r="O747">
        <v>0.33</v>
      </c>
      <c r="P747" t="s">
        <v>125</v>
      </c>
      <c r="Q747" t="s">
        <v>62</v>
      </c>
      <c r="R747">
        <v>2026</v>
      </c>
      <c r="S747">
        <f>IF(AND(HR_Employees[[#This Row],[Attrition]]="YES",HR_Employees[[#This Row],[Exit_Date]]&lt;&gt;""),YEAR(HR_Employees[[#This Row],[Exit_Date]]),"")</f>
        <v>2026</v>
      </c>
    </row>
    <row r="748" spans="1:19">
      <c r="A748" t="s">
        <v>1183</v>
      </c>
      <c r="B748" t="s">
        <v>507</v>
      </c>
      <c r="C748">
        <v>22</v>
      </c>
      <c r="D748" t="s">
        <v>39</v>
      </c>
      <c r="E748" t="s">
        <v>32</v>
      </c>
      <c r="F748" t="s">
        <v>47</v>
      </c>
      <c r="G748" t="s">
        <v>23</v>
      </c>
      <c r="H748" s="2">
        <v>44146</v>
      </c>
      <c r="I748" s="2" t="str">
        <f>IFERROR(VLOOKUP(HR_Employees[[#This Row],[Employee_ID]],'[1]Synthetic Exit Data'!$A$2:$E$235,4,0)," NA")</f>
        <v>2021-05-19</v>
      </c>
      <c r="J748" t="s">
        <v>49</v>
      </c>
      <c r="K748">
        <v>3</v>
      </c>
      <c r="L748" s="3">
        <v>133888</v>
      </c>
      <c r="M748" t="s">
        <v>25</v>
      </c>
      <c r="N748" t="s">
        <v>79</v>
      </c>
      <c r="O748">
        <v>5.83</v>
      </c>
      <c r="P748" t="s">
        <v>51</v>
      </c>
      <c r="Q748" t="s">
        <v>86</v>
      </c>
      <c r="R748">
        <v>2020</v>
      </c>
      <c r="S748">
        <f>IF(AND(HR_Employees[[#This Row],[Attrition]]="YES",HR_Employees[[#This Row],[Exit_Date]]&lt;&gt;""),YEAR(HR_Employees[[#This Row],[Exit_Date]]),"")</f>
        <v>2021</v>
      </c>
    </row>
    <row r="749" spans="1:19">
      <c r="A749" t="s">
        <v>1184</v>
      </c>
      <c r="B749" t="s">
        <v>950</v>
      </c>
      <c r="C749">
        <v>31</v>
      </c>
      <c r="D749" t="s">
        <v>31</v>
      </c>
      <c r="E749" t="s">
        <v>21</v>
      </c>
      <c r="F749" t="s">
        <v>65</v>
      </c>
      <c r="G749" t="s">
        <v>23</v>
      </c>
      <c r="H749" s="2">
        <v>46035</v>
      </c>
      <c r="I749" s="2" t="str">
        <f>IFERROR(VLOOKUP(HR_Employees[[#This Row],[Employee_ID]],'[1]Synthetic Exit Data'!$A$2:$E$235,4,0)," NA")</f>
        <v xml:space="preserve"> NA</v>
      </c>
      <c r="J749" t="s">
        <v>24</v>
      </c>
      <c r="K749">
        <v>3</v>
      </c>
      <c r="L749" s="3">
        <v>47237</v>
      </c>
      <c r="M749" t="s">
        <v>42</v>
      </c>
      <c r="N749" t="s">
        <v>43</v>
      </c>
      <c r="O749">
        <v>0.75</v>
      </c>
      <c r="P749" t="s">
        <v>57</v>
      </c>
      <c r="Q749" t="s">
        <v>76</v>
      </c>
      <c r="R749">
        <v>2026</v>
      </c>
      <c r="S749" t="str">
        <f>IF(AND(HR_Employees[[#This Row],[Attrition]]="YES",HR_Employees[[#This Row],[Exit_Date]]&lt;&gt;""),YEAR(HR_Employees[[#This Row],[Exit_Date]]),"")</f>
        <v/>
      </c>
    </row>
    <row r="750" spans="1:19">
      <c r="A750" t="s">
        <v>1185</v>
      </c>
      <c r="B750" t="s">
        <v>1186</v>
      </c>
      <c r="C750">
        <v>32</v>
      </c>
      <c r="D750" t="s">
        <v>31</v>
      </c>
      <c r="E750" t="s">
        <v>32</v>
      </c>
      <c r="F750" t="s">
        <v>40</v>
      </c>
      <c r="G750" t="s">
        <v>23</v>
      </c>
      <c r="H750" s="2">
        <v>40829</v>
      </c>
      <c r="I750" s="2" t="str">
        <f>IFERROR(VLOOKUP(HR_Employees[[#This Row],[Employee_ID]],'[1]Synthetic Exit Data'!$A$2:$E$235,4,0)," NA")</f>
        <v xml:space="preserve"> NA</v>
      </c>
      <c r="J750" t="s">
        <v>24</v>
      </c>
      <c r="K750">
        <v>3</v>
      </c>
      <c r="L750" s="3">
        <v>144667</v>
      </c>
      <c r="M750" t="s">
        <v>25</v>
      </c>
      <c r="N750" t="s">
        <v>26</v>
      </c>
      <c r="O750">
        <v>15</v>
      </c>
      <c r="P750" t="s">
        <v>125</v>
      </c>
      <c r="Q750" t="s">
        <v>62</v>
      </c>
      <c r="R750">
        <v>2011</v>
      </c>
      <c r="S750" t="str">
        <f>IF(AND(HR_Employees[[#This Row],[Attrition]]="YES",HR_Employees[[#This Row],[Exit_Date]]&lt;&gt;""),YEAR(HR_Employees[[#This Row],[Exit_Date]]),"")</f>
        <v/>
      </c>
    </row>
    <row r="751" spans="1:19">
      <c r="A751" t="s">
        <v>1187</v>
      </c>
      <c r="B751" t="s">
        <v>532</v>
      </c>
      <c r="C751">
        <v>22</v>
      </c>
      <c r="D751" t="s">
        <v>39</v>
      </c>
      <c r="E751" t="s">
        <v>21</v>
      </c>
      <c r="F751" t="s">
        <v>22</v>
      </c>
      <c r="G751" t="s">
        <v>23</v>
      </c>
      <c r="H751" s="2">
        <v>45297</v>
      </c>
      <c r="I751" s="2" t="str">
        <f>IFERROR(VLOOKUP(HR_Employees[[#This Row],[Employee_ID]],'[1]Synthetic Exit Data'!$A$2:$E$235,4,0)," NA")</f>
        <v>2024-08-03</v>
      </c>
      <c r="J751" t="s">
        <v>49</v>
      </c>
      <c r="K751">
        <v>4</v>
      </c>
      <c r="L751" s="3">
        <v>41550</v>
      </c>
      <c r="M751" t="s">
        <v>42</v>
      </c>
      <c r="N751" t="s">
        <v>56</v>
      </c>
      <c r="O751">
        <v>2.75</v>
      </c>
      <c r="P751" t="s">
        <v>35</v>
      </c>
      <c r="Q751" t="s">
        <v>62</v>
      </c>
      <c r="R751">
        <v>2024</v>
      </c>
      <c r="S751">
        <f>IF(AND(HR_Employees[[#This Row],[Attrition]]="YES",HR_Employees[[#This Row],[Exit_Date]]&lt;&gt;""),YEAR(HR_Employees[[#This Row],[Exit_Date]]),"")</f>
        <v>2024</v>
      </c>
    </row>
    <row r="752" spans="1:19">
      <c r="A752" t="s">
        <v>1188</v>
      </c>
      <c r="B752" t="s">
        <v>352</v>
      </c>
      <c r="C752">
        <v>30</v>
      </c>
      <c r="D752" t="s">
        <v>31</v>
      </c>
      <c r="E752" t="s">
        <v>21</v>
      </c>
      <c r="F752" t="s">
        <v>47</v>
      </c>
      <c r="G752" t="s">
        <v>33</v>
      </c>
      <c r="H752" s="2">
        <v>46094</v>
      </c>
      <c r="I752" s="2" t="str">
        <f>IFERROR(VLOOKUP(HR_Employees[[#This Row],[Employee_ID]],'[1]Synthetic Exit Data'!$A$2:$E$235,4,0)," NA")</f>
        <v xml:space="preserve"> NA</v>
      </c>
      <c r="J752" t="s">
        <v>24</v>
      </c>
      <c r="K752">
        <v>4</v>
      </c>
      <c r="L752" s="3">
        <v>28980</v>
      </c>
      <c r="M752" t="s">
        <v>82</v>
      </c>
      <c r="N752" t="s">
        <v>43</v>
      </c>
      <c r="O752">
        <v>0.57999999999999996</v>
      </c>
      <c r="P752" t="s">
        <v>57</v>
      </c>
      <c r="Q752" t="s">
        <v>62</v>
      </c>
      <c r="R752">
        <v>2026</v>
      </c>
      <c r="S752" t="str">
        <f>IF(AND(HR_Employees[[#This Row],[Attrition]]="YES",HR_Employees[[#This Row],[Exit_Date]]&lt;&gt;""),YEAR(HR_Employees[[#This Row],[Exit_Date]]),"")</f>
        <v/>
      </c>
    </row>
    <row r="753" spans="1:19">
      <c r="A753" t="s">
        <v>1189</v>
      </c>
      <c r="B753" t="s">
        <v>1190</v>
      </c>
      <c r="C753">
        <v>28</v>
      </c>
      <c r="D753" t="s">
        <v>31</v>
      </c>
      <c r="E753" t="s">
        <v>21</v>
      </c>
      <c r="F753" t="s">
        <v>47</v>
      </c>
      <c r="G753" t="s">
        <v>33</v>
      </c>
      <c r="H753" s="2">
        <v>45517</v>
      </c>
      <c r="I753" s="2" t="str">
        <f>IFERROR(VLOOKUP(HR_Employees[[#This Row],[Employee_ID]],'[1]Synthetic Exit Data'!$A$2:$E$235,4,0)," NA")</f>
        <v xml:space="preserve"> NA</v>
      </c>
      <c r="J753" t="s">
        <v>24</v>
      </c>
      <c r="K753">
        <v>5</v>
      </c>
      <c r="L753" s="3">
        <v>83666</v>
      </c>
      <c r="M753" t="s">
        <v>66</v>
      </c>
      <c r="N753" t="s">
        <v>56</v>
      </c>
      <c r="O753">
        <v>2.17</v>
      </c>
      <c r="P753" t="s">
        <v>51</v>
      </c>
      <c r="Q753" t="s">
        <v>36</v>
      </c>
      <c r="R753">
        <v>2024</v>
      </c>
      <c r="S753" t="str">
        <f>IF(AND(HR_Employees[[#This Row],[Attrition]]="YES",HR_Employees[[#This Row],[Exit_Date]]&lt;&gt;""),YEAR(HR_Employees[[#This Row],[Exit_Date]]),"")</f>
        <v/>
      </c>
    </row>
    <row r="754" spans="1:19">
      <c r="A754" t="s">
        <v>1191</v>
      </c>
      <c r="B754" t="s">
        <v>764</v>
      </c>
      <c r="C754">
        <v>38</v>
      </c>
      <c r="D754" t="s">
        <v>61</v>
      </c>
      <c r="E754" t="s">
        <v>21</v>
      </c>
      <c r="F754" t="s">
        <v>40</v>
      </c>
      <c r="G754" t="s">
        <v>33</v>
      </c>
      <c r="H754" s="2">
        <v>46004</v>
      </c>
      <c r="I754" s="2" t="str">
        <f>IFERROR(VLOOKUP(HR_Employees[[#This Row],[Employee_ID]],'[1]Synthetic Exit Data'!$A$2:$E$235,4,0)," NA")</f>
        <v xml:space="preserve"> NA</v>
      </c>
      <c r="J754" t="s">
        <v>24</v>
      </c>
      <c r="K754">
        <v>3</v>
      </c>
      <c r="L754" s="3">
        <v>54120</v>
      </c>
      <c r="M754" t="s">
        <v>34</v>
      </c>
      <c r="N754" t="s">
        <v>43</v>
      </c>
      <c r="O754">
        <v>0.83</v>
      </c>
      <c r="P754" t="s">
        <v>51</v>
      </c>
      <c r="Q754" t="s">
        <v>62</v>
      </c>
      <c r="R754">
        <v>2025</v>
      </c>
      <c r="S754" t="str">
        <f>IF(AND(HR_Employees[[#This Row],[Attrition]]="YES",HR_Employees[[#This Row],[Exit_Date]]&lt;&gt;""),YEAR(HR_Employees[[#This Row],[Exit_Date]]),"")</f>
        <v/>
      </c>
    </row>
    <row r="755" spans="1:19">
      <c r="A755" t="s">
        <v>1192</v>
      </c>
      <c r="B755" t="s">
        <v>1193</v>
      </c>
      <c r="C755">
        <v>34</v>
      </c>
      <c r="D755" t="s">
        <v>31</v>
      </c>
      <c r="E755" t="s">
        <v>32</v>
      </c>
      <c r="F755" t="s">
        <v>40</v>
      </c>
      <c r="G755" t="s">
        <v>33</v>
      </c>
      <c r="H755" s="2">
        <v>46216</v>
      </c>
      <c r="I755" s="2" t="str">
        <f>IFERROR(VLOOKUP(HR_Employees[[#This Row],[Employee_ID]],'[1]Synthetic Exit Data'!$A$2:$E$235,4,0)," NA")</f>
        <v xml:space="preserve"> NA</v>
      </c>
      <c r="J755" t="s">
        <v>24</v>
      </c>
      <c r="K755">
        <v>4</v>
      </c>
      <c r="L755" s="3">
        <v>36003</v>
      </c>
      <c r="M755" t="s">
        <v>42</v>
      </c>
      <c r="N755" t="s">
        <v>43</v>
      </c>
      <c r="O755">
        <v>0.25</v>
      </c>
      <c r="P755" t="s">
        <v>27</v>
      </c>
      <c r="Q755" t="s">
        <v>92</v>
      </c>
      <c r="R755">
        <v>2026</v>
      </c>
      <c r="S755" t="str">
        <f>IF(AND(HR_Employees[[#This Row],[Attrition]]="YES",HR_Employees[[#This Row],[Exit_Date]]&lt;&gt;""),YEAR(HR_Employees[[#This Row],[Exit_Date]]),"")</f>
        <v/>
      </c>
    </row>
    <row r="756" spans="1:19">
      <c r="A756" t="s">
        <v>1194</v>
      </c>
      <c r="B756" t="s">
        <v>179</v>
      </c>
      <c r="C756">
        <v>42</v>
      </c>
      <c r="D756" t="s">
        <v>61</v>
      </c>
      <c r="E756" t="s">
        <v>21</v>
      </c>
      <c r="F756" t="s">
        <v>47</v>
      </c>
      <c r="G756" t="s">
        <v>41</v>
      </c>
      <c r="H756" s="2">
        <v>46216</v>
      </c>
      <c r="I756" s="2" t="str">
        <f>IFERROR(VLOOKUP(HR_Employees[[#This Row],[Employee_ID]],'[1]Synthetic Exit Data'!$A$2:$E$235,4,0)," NA")</f>
        <v xml:space="preserve"> NA</v>
      </c>
      <c r="J756" t="s">
        <v>24</v>
      </c>
      <c r="K756">
        <v>3</v>
      </c>
      <c r="L756" s="3">
        <v>73465</v>
      </c>
      <c r="M756" t="s">
        <v>34</v>
      </c>
      <c r="N756" t="s">
        <v>43</v>
      </c>
      <c r="O756">
        <v>0.25</v>
      </c>
      <c r="P756" t="s">
        <v>83</v>
      </c>
      <c r="Q756" t="s">
        <v>44</v>
      </c>
      <c r="R756">
        <v>2026</v>
      </c>
      <c r="S756" t="str">
        <f>IF(AND(HR_Employees[[#This Row],[Attrition]]="YES",HR_Employees[[#This Row],[Exit_Date]]&lt;&gt;""),YEAR(HR_Employees[[#This Row],[Exit_Date]]),"")</f>
        <v/>
      </c>
    </row>
    <row r="757" spans="1:19">
      <c r="A757" t="s">
        <v>1195</v>
      </c>
      <c r="B757" t="s">
        <v>569</v>
      </c>
      <c r="C757">
        <v>36</v>
      </c>
      <c r="D757" t="s">
        <v>61</v>
      </c>
      <c r="E757" t="s">
        <v>32</v>
      </c>
      <c r="F757" t="s">
        <v>22</v>
      </c>
      <c r="G757" t="s">
        <v>33</v>
      </c>
      <c r="H757" s="2">
        <v>46180</v>
      </c>
      <c r="I757" s="2" t="str">
        <f>IFERROR(VLOOKUP(HR_Employees[[#This Row],[Employee_ID]],'[1]Synthetic Exit Data'!$A$2:$E$235,4,0)," NA")</f>
        <v>2026-09-19</v>
      </c>
      <c r="J757" t="s">
        <v>49</v>
      </c>
      <c r="K757">
        <v>4</v>
      </c>
      <c r="L757" s="3">
        <v>86900</v>
      </c>
      <c r="M757" t="s">
        <v>66</v>
      </c>
      <c r="N757" t="s">
        <v>43</v>
      </c>
      <c r="O757">
        <v>0.17</v>
      </c>
      <c r="P757" t="s">
        <v>27</v>
      </c>
      <c r="Q757" t="s">
        <v>28</v>
      </c>
      <c r="R757">
        <v>2026</v>
      </c>
      <c r="S757">
        <f>IF(AND(HR_Employees[[#This Row],[Attrition]]="YES",HR_Employees[[#This Row],[Exit_Date]]&lt;&gt;""),YEAR(HR_Employees[[#This Row],[Exit_Date]]),"")</f>
        <v>2026</v>
      </c>
    </row>
    <row r="758" spans="1:19">
      <c r="A758" t="s">
        <v>1196</v>
      </c>
      <c r="B758" t="s">
        <v>138</v>
      </c>
      <c r="C758">
        <v>35</v>
      </c>
      <c r="D758" t="s">
        <v>31</v>
      </c>
      <c r="E758" t="s">
        <v>32</v>
      </c>
      <c r="F758" t="s">
        <v>40</v>
      </c>
      <c r="G758" t="s">
        <v>114</v>
      </c>
      <c r="H758" s="2">
        <v>45391</v>
      </c>
      <c r="I758" s="2" t="str">
        <f>IFERROR(VLOOKUP(HR_Employees[[#This Row],[Employee_ID]],'[1]Synthetic Exit Data'!$A$2:$E$235,4,0)," NA")</f>
        <v>2024-11-29</v>
      </c>
      <c r="J758" t="s">
        <v>49</v>
      </c>
      <c r="K758">
        <v>3</v>
      </c>
      <c r="L758" s="3">
        <v>25500</v>
      </c>
      <c r="M758" t="s">
        <v>82</v>
      </c>
      <c r="N758" t="s">
        <v>56</v>
      </c>
      <c r="O758">
        <v>2.42</v>
      </c>
      <c r="P758" t="s">
        <v>27</v>
      </c>
      <c r="Q758" t="s">
        <v>92</v>
      </c>
      <c r="R758">
        <v>2024</v>
      </c>
      <c r="S758">
        <f>IF(AND(HR_Employees[[#This Row],[Attrition]]="YES",HR_Employees[[#This Row],[Exit_Date]]&lt;&gt;""),YEAR(HR_Employees[[#This Row],[Exit_Date]]),"")</f>
        <v>2024</v>
      </c>
    </row>
    <row r="759" spans="1:19">
      <c r="A759" t="s">
        <v>1197</v>
      </c>
      <c r="B759" t="s">
        <v>98</v>
      </c>
      <c r="C759">
        <v>43</v>
      </c>
      <c r="D759" t="s">
        <v>61</v>
      </c>
      <c r="E759" t="s">
        <v>32</v>
      </c>
      <c r="F759" t="s">
        <v>47</v>
      </c>
      <c r="G759" t="s">
        <v>23</v>
      </c>
      <c r="H759" s="2">
        <v>46125</v>
      </c>
      <c r="I759" s="2" t="str">
        <f>IFERROR(VLOOKUP(HR_Employees[[#This Row],[Employee_ID]],'[1]Synthetic Exit Data'!$A$2:$E$235,4,0)," NA")</f>
        <v xml:space="preserve"> NA</v>
      </c>
      <c r="J759" t="s">
        <v>24</v>
      </c>
      <c r="K759">
        <v>3</v>
      </c>
      <c r="L759" s="3">
        <v>55142</v>
      </c>
      <c r="M759" t="s">
        <v>34</v>
      </c>
      <c r="N759" t="s">
        <v>43</v>
      </c>
      <c r="O759">
        <v>0.5</v>
      </c>
      <c r="P759" t="s">
        <v>27</v>
      </c>
      <c r="Q759" t="s">
        <v>44</v>
      </c>
      <c r="R759">
        <v>2026</v>
      </c>
      <c r="S759" t="str">
        <f>IF(AND(HR_Employees[[#This Row],[Attrition]]="YES",HR_Employees[[#This Row],[Exit_Date]]&lt;&gt;""),YEAR(HR_Employees[[#This Row],[Exit_Date]]),"")</f>
        <v/>
      </c>
    </row>
    <row r="760" spans="1:19">
      <c r="A760" t="s">
        <v>1198</v>
      </c>
      <c r="B760" t="s">
        <v>68</v>
      </c>
      <c r="C760">
        <v>32</v>
      </c>
      <c r="D760" t="s">
        <v>31</v>
      </c>
      <c r="E760" t="s">
        <v>32</v>
      </c>
      <c r="F760" t="s">
        <v>47</v>
      </c>
      <c r="G760" t="s">
        <v>41</v>
      </c>
      <c r="H760" s="2">
        <v>45395</v>
      </c>
      <c r="I760" s="2" t="str">
        <f>IFERROR(VLOOKUP(HR_Employees[[#This Row],[Employee_ID]],'[1]Synthetic Exit Data'!$A$2:$E$235,4,0)," NA")</f>
        <v xml:space="preserve"> NA</v>
      </c>
      <c r="J760" t="s">
        <v>24</v>
      </c>
      <c r="K760">
        <v>5</v>
      </c>
      <c r="L760" s="3">
        <v>161232</v>
      </c>
      <c r="M760" t="s">
        <v>25</v>
      </c>
      <c r="N760" t="s">
        <v>56</v>
      </c>
      <c r="O760">
        <v>2.5</v>
      </c>
      <c r="P760" t="s">
        <v>27</v>
      </c>
      <c r="Q760" t="s">
        <v>58</v>
      </c>
      <c r="R760">
        <v>2024</v>
      </c>
      <c r="S760" t="str">
        <f>IF(AND(HR_Employees[[#This Row],[Attrition]]="YES",HR_Employees[[#This Row],[Exit_Date]]&lt;&gt;""),YEAR(HR_Employees[[#This Row],[Exit_Date]]),"")</f>
        <v/>
      </c>
    </row>
    <row r="761" spans="1:19">
      <c r="A761" t="s">
        <v>1199</v>
      </c>
      <c r="B761" t="s">
        <v>1200</v>
      </c>
      <c r="C761">
        <v>34</v>
      </c>
      <c r="D761" t="s">
        <v>31</v>
      </c>
      <c r="E761" t="s">
        <v>32</v>
      </c>
      <c r="F761" t="s">
        <v>40</v>
      </c>
      <c r="G761" t="s">
        <v>33</v>
      </c>
      <c r="H761" s="2">
        <v>46161</v>
      </c>
      <c r="I761" s="2" t="str">
        <f>IFERROR(VLOOKUP(HR_Employees[[#This Row],[Employee_ID]],'[1]Synthetic Exit Data'!$A$2:$E$235,4,0)," NA")</f>
        <v>2026-06-08</v>
      </c>
      <c r="J761" t="s">
        <v>49</v>
      </c>
      <c r="K761">
        <v>3</v>
      </c>
      <c r="L761" s="3">
        <v>49651</v>
      </c>
      <c r="M761" t="s">
        <v>42</v>
      </c>
      <c r="N761" t="s">
        <v>43</v>
      </c>
      <c r="O761">
        <v>0.25</v>
      </c>
      <c r="P761" t="s">
        <v>35</v>
      </c>
      <c r="Q761" t="s">
        <v>36</v>
      </c>
      <c r="R761">
        <v>2026</v>
      </c>
      <c r="S761">
        <f>IF(AND(HR_Employees[[#This Row],[Attrition]]="YES",HR_Employees[[#This Row],[Exit_Date]]&lt;&gt;""),YEAR(HR_Employees[[#This Row],[Exit_Date]]),"")</f>
        <v>2026</v>
      </c>
    </row>
    <row r="762" spans="1:19">
      <c r="A762" t="s">
        <v>1201</v>
      </c>
      <c r="B762" t="s">
        <v>389</v>
      </c>
      <c r="C762">
        <v>40</v>
      </c>
      <c r="D762" t="s">
        <v>61</v>
      </c>
      <c r="E762" t="s">
        <v>32</v>
      </c>
      <c r="F762" t="s">
        <v>47</v>
      </c>
      <c r="G762" t="s">
        <v>33</v>
      </c>
      <c r="H762" s="2">
        <v>44911</v>
      </c>
      <c r="I762" s="2" t="str">
        <f>IFERROR(VLOOKUP(HR_Employees[[#This Row],[Employee_ID]],'[1]Synthetic Exit Data'!$A$2:$E$235,4,0)," NA")</f>
        <v>2023-11-30</v>
      </c>
      <c r="J762" t="s">
        <v>49</v>
      </c>
      <c r="K762">
        <v>3</v>
      </c>
      <c r="L762" s="3">
        <v>47582</v>
      </c>
      <c r="M762" t="s">
        <v>42</v>
      </c>
      <c r="N762" t="s">
        <v>50</v>
      </c>
      <c r="O762">
        <v>3.75</v>
      </c>
      <c r="P762" t="s">
        <v>51</v>
      </c>
      <c r="Q762" t="s">
        <v>92</v>
      </c>
      <c r="R762">
        <v>2022</v>
      </c>
      <c r="S762">
        <f>IF(AND(HR_Employees[[#This Row],[Attrition]]="YES",HR_Employees[[#This Row],[Exit_Date]]&lt;&gt;""),YEAR(HR_Employees[[#This Row],[Exit_Date]]),"")</f>
        <v>2023</v>
      </c>
    </row>
    <row r="763" spans="1:19">
      <c r="A763" t="s">
        <v>1202</v>
      </c>
      <c r="B763" t="s">
        <v>136</v>
      </c>
      <c r="C763">
        <v>21</v>
      </c>
      <c r="D763" t="s">
        <v>39</v>
      </c>
      <c r="E763" t="s">
        <v>32</v>
      </c>
      <c r="F763" t="s">
        <v>55</v>
      </c>
      <c r="G763" t="s">
        <v>41</v>
      </c>
      <c r="H763" s="2">
        <v>43995</v>
      </c>
      <c r="I763" s="2" t="str">
        <f>IFERROR(VLOOKUP(HR_Employees[[#This Row],[Employee_ID]],'[1]Synthetic Exit Data'!$A$2:$E$235,4,0)," NA")</f>
        <v xml:space="preserve"> NA</v>
      </c>
      <c r="J763" t="s">
        <v>24</v>
      </c>
      <c r="K763">
        <v>3</v>
      </c>
      <c r="L763" s="3">
        <v>69521</v>
      </c>
      <c r="M763" t="s">
        <v>34</v>
      </c>
      <c r="N763" t="s">
        <v>79</v>
      </c>
      <c r="O763">
        <v>6.33</v>
      </c>
      <c r="P763" t="s">
        <v>51</v>
      </c>
      <c r="Q763" t="s">
        <v>28</v>
      </c>
      <c r="R763">
        <v>2020</v>
      </c>
      <c r="S763" t="str">
        <f>IF(AND(HR_Employees[[#This Row],[Attrition]]="YES",HR_Employees[[#This Row],[Exit_Date]]&lt;&gt;""),YEAR(HR_Employees[[#This Row],[Exit_Date]]),"")</f>
        <v/>
      </c>
    </row>
    <row r="764" spans="1:19">
      <c r="A764" t="s">
        <v>1203</v>
      </c>
      <c r="B764" t="s">
        <v>1204</v>
      </c>
      <c r="C764">
        <v>56</v>
      </c>
      <c r="D764" t="s">
        <v>54</v>
      </c>
      <c r="E764" t="s">
        <v>32</v>
      </c>
      <c r="F764" t="s">
        <v>55</v>
      </c>
      <c r="G764" t="s">
        <v>23</v>
      </c>
      <c r="H764" s="2">
        <v>46278</v>
      </c>
      <c r="I764" s="2" t="str">
        <f>IFERROR(VLOOKUP(HR_Employees[[#This Row],[Employee_ID]],'[1]Synthetic Exit Data'!$A$2:$E$235,4,0)," NA")</f>
        <v xml:space="preserve"> NA</v>
      </c>
      <c r="J764" t="s">
        <v>24</v>
      </c>
      <c r="K764">
        <v>4</v>
      </c>
      <c r="L764" s="3">
        <v>135199</v>
      </c>
      <c r="M764" t="s">
        <v>25</v>
      </c>
      <c r="N764" t="s">
        <v>43</v>
      </c>
      <c r="O764">
        <v>0.08</v>
      </c>
      <c r="P764" t="s">
        <v>83</v>
      </c>
      <c r="Q764" t="s">
        <v>92</v>
      </c>
      <c r="R764">
        <v>2026</v>
      </c>
      <c r="S764" t="str">
        <f>IF(AND(HR_Employees[[#This Row],[Attrition]]="YES",HR_Employees[[#This Row],[Exit_Date]]&lt;&gt;""),YEAR(HR_Employees[[#This Row],[Exit_Date]]),"")</f>
        <v/>
      </c>
    </row>
    <row r="765" spans="1:19">
      <c r="A765" t="s">
        <v>1205</v>
      </c>
      <c r="B765" t="s">
        <v>340</v>
      </c>
      <c r="C765">
        <v>43</v>
      </c>
      <c r="D765" t="s">
        <v>61</v>
      </c>
      <c r="E765" t="s">
        <v>21</v>
      </c>
      <c r="F765" t="s">
        <v>47</v>
      </c>
      <c r="G765" t="s">
        <v>23</v>
      </c>
      <c r="H765" s="2">
        <v>40646</v>
      </c>
      <c r="I765" s="2" t="str">
        <f>IFERROR(VLOOKUP(HR_Employees[[#This Row],[Employee_ID]],'[1]Synthetic Exit Data'!$A$2:$E$235,4,0)," NA")</f>
        <v xml:space="preserve"> NA</v>
      </c>
      <c r="J765" t="s">
        <v>24</v>
      </c>
      <c r="K765">
        <v>3</v>
      </c>
      <c r="L765" s="3">
        <v>112789</v>
      </c>
      <c r="M765" t="s">
        <v>25</v>
      </c>
      <c r="N765" t="s">
        <v>26</v>
      </c>
      <c r="O765">
        <v>15.5</v>
      </c>
      <c r="P765" t="s">
        <v>83</v>
      </c>
      <c r="Q765" t="s">
        <v>76</v>
      </c>
      <c r="R765">
        <v>2011</v>
      </c>
      <c r="S765" t="str">
        <f>IF(AND(HR_Employees[[#This Row],[Attrition]]="YES",HR_Employees[[#This Row],[Exit_Date]]&lt;&gt;""),YEAR(HR_Employees[[#This Row],[Exit_Date]]),"")</f>
        <v/>
      </c>
    </row>
    <row r="766" spans="1:19">
      <c r="A766" t="s">
        <v>1206</v>
      </c>
      <c r="B766" t="s">
        <v>249</v>
      </c>
      <c r="C766">
        <v>27</v>
      </c>
      <c r="D766" t="s">
        <v>31</v>
      </c>
      <c r="E766" t="s">
        <v>32</v>
      </c>
      <c r="F766" t="s">
        <v>109</v>
      </c>
      <c r="G766" t="s">
        <v>23</v>
      </c>
      <c r="H766" s="2">
        <v>44178</v>
      </c>
      <c r="I766" s="2" t="str">
        <f>IFERROR(VLOOKUP(HR_Employees[[#This Row],[Employee_ID]],'[1]Synthetic Exit Data'!$A$2:$E$235,4,0)," NA")</f>
        <v xml:space="preserve"> NA</v>
      </c>
      <c r="J766" t="s">
        <v>24</v>
      </c>
      <c r="K766">
        <v>4</v>
      </c>
      <c r="L766" s="3">
        <v>48485</v>
      </c>
      <c r="M766" t="s">
        <v>42</v>
      </c>
      <c r="N766" t="s">
        <v>79</v>
      </c>
      <c r="O766">
        <v>5.83</v>
      </c>
      <c r="P766" t="s">
        <v>27</v>
      </c>
      <c r="Q766" t="s">
        <v>92</v>
      </c>
      <c r="R766">
        <v>2020</v>
      </c>
      <c r="S766" t="str">
        <f>IF(AND(HR_Employees[[#This Row],[Attrition]]="YES",HR_Employees[[#This Row],[Exit_Date]]&lt;&gt;""),YEAR(HR_Employees[[#This Row],[Exit_Date]]),"")</f>
        <v/>
      </c>
    </row>
    <row r="767" spans="1:19">
      <c r="A767" t="s">
        <v>1207</v>
      </c>
      <c r="B767" t="s">
        <v>624</v>
      </c>
      <c r="C767">
        <v>56</v>
      </c>
      <c r="D767" t="s">
        <v>54</v>
      </c>
      <c r="E767" t="s">
        <v>21</v>
      </c>
      <c r="F767" t="s">
        <v>47</v>
      </c>
      <c r="G767" t="s">
        <v>23</v>
      </c>
      <c r="H767" s="2">
        <v>46186</v>
      </c>
      <c r="I767" s="2" t="str">
        <f>IFERROR(VLOOKUP(HR_Employees[[#This Row],[Employee_ID]],'[1]Synthetic Exit Data'!$A$2:$E$235,4,0)," NA")</f>
        <v xml:space="preserve"> NA</v>
      </c>
      <c r="J767" t="s">
        <v>24</v>
      </c>
      <c r="K767">
        <v>4</v>
      </c>
      <c r="L767" s="3">
        <v>78095</v>
      </c>
      <c r="M767" t="s">
        <v>66</v>
      </c>
      <c r="N767" t="s">
        <v>43</v>
      </c>
      <c r="O767">
        <v>0.33</v>
      </c>
      <c r="P767" t="s">
        <v>57</v>
      </c>
      <c r="Q767" t="s">
        <v>58</v>
      </c>
      <c r="R767">
        <v>2026</v>
      </c>
      <c r="S767" t="str">
        <f>IF(AND(HR_Employees[[#This Row],[Attrition]]="YES",HR_Employees[[#This Row],[Exit_Date]]&lt;&gt;""),YEAR(HR_Employees[[#This Row],[Exit_Date]]),"")</f>
        <v/>
      </c>
    </row>
    <row r="768" spans="1:19">
      <c r="A768" t="s">
        <v>1208</v>
      </c>
      <c r="B768" t="s">
        <v>1204</v>
      </c>
      <c r="C768">
        <v>40</v>
      </c>
      <c r="D768" t="s">
        <v>61</v>
      </c>
      <c r="E768" t="s">
        <v>21</v>
      </c>
      <c r="F768" t="s">
        <v>22</v>
      </c>
      <c r="G768" t="s">
        <v>41</v>
      </c>
      <c r="H768" s="2">
        <v>45930</v>
      </c>
      <c r="I768" s="2" t="str">
        <f>IFERROR(VLOOKUP(HR_Employees[[#This Row],[Employee_ID]],'[1]Synthetic Exit Data'!$A$2:$E$235,4,0)," NA")</f>
        <v>2025-11-05</v>
      </c>
      <c r="J768" t="s">
        <v>49</v>
      </c>
      <c r="K768">
        <v>3</v>
      </c>
      <c r="L768" s="3">
        <v>23493</v>
      </c>
      <c r="M768" t="s">
        <v>82</v>
      </c>
      <c r="N768" t="s">
        <v>43</v>
      </c>
      <c r="O768">
        <v>1</v>
      </c>
      <c r="P768" t="s">
        <v>125</v>
      </c>
      <c r="Q768" t="s">
        <v>86</v>
      </c>
      <c r="R768">
        <v>2025</v>
      </c>
      <c r="S768">
        <f>IF(AND(HR_Employees[[#This Row],[Attrition]]="YES",HR_Employees[[#This Row],[Exit_Date]]&lt;&gt;""),YEAR(HR_Employees[[#This Row],[Exit_Date]]),"")</f>
        <v>2025</v>
      </c>
    </row>
    <row r="769" spans="1:19">
      <c r="A769" t="s">
        <v>1209</v>
      </c>
      <c r="B769" t="s">
        <v>804</v>
      </c>
      <c r="C769">
        <v>32</v>
      </c>
      <c r="D769" t="s">
        <v>31</v>
      </c>
      <c r="E769" t="s">
        <v>32</v>
      </c>
      <c r="F769" t="s">
        <v>47</v>
      </c>
      <c r="G769" t="s">
        <v>48</v>
      </c>
      <c r="H769" s="2">
        <v>45576</v>
      </c>
      <c r="I769" s="2" t="str">
        <f>IFERROR(VLOOKUP(HR_Employees[[#This Row],[Employee_ID]],'[1]Synthetic Exit Data'!$A$2:$E$235,4,0)," NA")</f>
        <v>2024-12-08</v>
      </c>
      <c r="J769" t="s">
        <v>49</v>
      </c>
      <c r="K769">
        <v>3</v>
      </c>
      <c r="L769" s="3">
        <v>19340</v>
      </c>
      <c r="M769" t="s">
        <v>82</v>
      </c>
      <c r="N769" t="s">
        <v>56</v>
      </c>
      <c r="O769">
        <v>1.92</v>
      </c>
      <c r="P769" t="s">
        <v>35</v>
      </c>
      <c r="Q769" t="s">
        <v>28</v>
      </c>
      <c r="R769">
        <v>2024</v>
      </c>
      <c r="S769">
        <f>IF(AND(HR_Employees[[#This Row],[Attrition]]="YES",HR_Employees[[#This Row],[Exit_Date]]&lt;&gt;""),YEAR(HR_Employees[[#This Row],[Exit_Date]]),"")</f>
        <v>2024</v>
      </c>
    </row>
    <row r="770" spans="1:19">
      <c r="A770" t="s">
        <v>1210</v>
      </c>
      <c r="B770" t="s">
        <v>1211</v>
      </c>
      <c r="C770">
        <v>38</v>
      </c>
      <c r="D770" t="s">
        <v>61</v>
      </c>
      <c r="E770" t="s">
        <v>32</v>
      </c>
      <c r="F770" t="s">
        <v>73</v>
      </c>
      <c r="G770" t="s">
        <v>33</v>
      </c>
      <c r="H770" s="2">
        <v>45090</v>
      </c>
      <c r="I770" s="2" t="str">
        <f>IFERROR(VLOOKUP(HR_Employees[[#This Row],[Employee_ID]],'[1]Synthetic Exit Data'!$A$2:$E$235,4,0)," NA")</f>
        <v xml:space="preserve"> NA</v>
      </c>
      <c r="J770" t="s">
        <v>24</v>
      </c>
      <c r="K770">
        <v>3</v>
      </c>
      <c r="L770" s="3">
        <v>67593</v>
      </c>
      <c r="M770" t="s">
        <v>34</v>
      </c>
      <c r="N770" t="s">
        <v>50</v>
      </c>
      <c r="O770">
        <v>3.33</v>
      </c>
      <c r="P770" t="s">
        <v>51</v>
      </c>
      <c r="Q770" t="s">
        <v>62</v>
      </c>
      <c r="R770">
        <v>2023</v>
      </c>
      <c r="S770" t="str">
        <f>IF(AND(HR_Employees[[#This Row],[Attrition]]="YES",HR_Employees[[#This Row],[Exit_Date]]&lt;&gt;""),YEAR(HR_Employees[[#This Row],[Exit_Date]]),"")</f>
        <v/>
      </c>
    </row>
    <row r="771" spans="1:19">
      <c r="A771" t="s">
        <v>1212</v>
      </c>
      <c r="B771" t="s">
        <v>1213</v>
      </c>
      <c r="C771">
        <v>37</v>
      </c>
      <c r="D771" t="s">
        <v>61</v>
      </c>
      <c r="E771" t="s">
        <v>21</v>
      </c>
      <c r="F771" t="s">
        <v>151</v>
      </c>
      <c r="G771" t="s">
        <v>33</v>
      </c>
      <c r="H771" s="2">
        <v>45120</v>
      </c>
      <c r="I771" s="2" t="str">
        <f>IFERROR(VLOOKUP(HR_Employees[[#This Row],[Employee_ID]],'[1]Synthetic Exit Data'!$A$2:$E$235,4,0)," NA")</f>
        <v xml:space="preserve"> NA</v>
      </c>
      <c r="J771" t="s">
        <v>24</v>
      </c>
      <c r="K771">
        <v>3</v>
      </c>
      <c r="L771" s="3">
        <v>78510</v>
      </c>
      <c r="M771" t="s">
        <v>66</v>
      </c>
      <c r="N771" t="s">
        <v>50</v>
      </c>
      <c r="O771">
        <v>3.25</v>
      </c>
      <c r="P771" t="s">
        <v>27</v>
      </c>
      <c r="Q771" t="s">
        <v>28</v>
      </c>
      <c r="R771">
        <v>2023</v>
      </c>
      <c r="S771" t="str">
        <f>IF(AND(HR_Employees[[#This Row],[Attrition]]="YES",HR_Employees[[#This Row],[Exit_Date]]&lt;&gt;""),YEAR(HR_Employees[[#This Row],[Exit_Date]]),"")</f>
        <v/>
      </c>
    </row>
    <row r="772" spans="1:19">
      <c r="A772" t="s">
        <v>1214</v>
      </c>
      <c r="B772" t="s">
        <v>987</v>
      </c>
      <c r="C772">
        <v>33</v>
      </c>
      <c r="D772" t="s">
        <v>31</v>
      </c>
      <c r="E772" t="s">
        <v>21</v>
      </c>
      <c r="F772" t="s">
        <v>40</v>
      </c>
      <c r="G772" t="s">
        <v>23</v>
      </c>
      <c r="H772" s="2">
        <v>43356</v>
      </c>
      <c r="I772" s="2" t="str">
        <f>IFERROR(VLOOKUP(HR_Employees[[#This Row],[Employee_ID]],'[1]Synthetic Exit Data'!$A$2:$E$235,4,0)," NA")</f>
        <v xml:space="preserve"> NA</v>
      </c>
      <c r="J772" t="s">
        <v>24</v>
      </c>
      <c r="K772">
        <v>3</v>
      </c>
      <c r="L772" s="3">
        <v>98839</v>
      </c>
      <c r="M772" t="s">
        <v>66</v>
      </c>
      <c r="N772" t="s">
        <v>79</v>
      </c>
      <c r="O772">
        <v>8.08</v>
      </c>
      <c r="P772" t="s">
        <v>27</v>
      </c>
      <c r="Q772" t="s">
        <v>36</v>
      </c>
      <c r="R772">
        <v>2018</v>
      </c>
      <c r="S772" t="str">
        <f>IF(AND(HR_Employees[[#This Row],[Attrition]]="YES",HR_Employees[[#This Row],[Exit_Date]]&lt;&gt;""),YEAR(HR_Employees[[#This Row],[Exit_Date]]),"")</f>
        <v/>
      </c>
    </row>
    <row r="773" spans="1:19">
      <c r="A773" t="s">
        <v>1215</v>
      </c>
      <c r="B773" t="s">
        <v>187</v>
      </c>
      <c r="C773">
        <v>54</v>
      </c>
      <c r="D773" t="s">
        <v>20</v>
      </c>
      <c r="E773" t="s">
        <v>32</v>
      </c>
      <c r="F773" t="s">
        <v>47</v>
      </c>
      <c r="G773" t="s">
        <v>33</v>
      </c>
      <c r="H773" s="2">
        <v>45335</v>
      </c>
      <c r="I773" s="2" t="str">
        <f>IFERROR(VLOOKUP(HR_Employees[[#This Row],[Employee_ID]],'[1]Synthetic Exit Data'!$A$2:$E$235,4,0)," NA")</f>
        <v xml:space="preserve"> NA</v>
      </c>
      <c r="J773" t="s">
        <v>24</v>
      </c>
      <c r="K773">
        <v>4</v>
      </c>
      <c r="L773" s="3">
        <v>34570</v>
      </c>
      <c r="M773" t="s">
        <v>42</v>
      </c>
      <c r="N773" t="s">
        <v>56</v>
      </c>
      <c r="O773">
        <v>2.67</v>
      </c>
      <c r="P773" t="s">
        <v>35</v>
      </c>
      <c r="Q773" t="s">
        <v>86</v>
      </c>
      <c r="R773">
        <v>2024</v>
      </c>
      <c r="S773" t="str">
        <f>IF(AND(HR_Employees[[#This Row],[Attrition]]="YES",HR_Employees[[#This Row],[Exit_Date]]&lt;&gt;""),YEAR(HR_Employees[[#This Row],[Exit_Date]]),"")</f>
        <v/>
      </c>
    </row>
    <row r="774" spans="1:19">
      <c r="A774" t="s">
        <v>1216</v>
      </c>
      <c r="B774" t="s">
        <v>580</v>
      </c>
      <c r="C774">
        <v>32</v>
      </c>
      <c r="D774" t="s">
        <v>31</v>
      </c>
      <c r="E774" t="s">
        <v>32</v>
      </c>
      <c r="F774" t="s">
        <v>65</v>
      </c>
      <c r="G774" t="s">
        <v>48</v>
      </c>
      <c r="H774" s="2">
        <v>46191</v>
      </c>
      <c r="I774" s="2" t="str">
        <f>IFERROR(VLOOKUP(HR_Employees[[#This Row],[Employee_ID]],'[1]Synthetic Exit Data'!$A$2:$E$235,4,0)," NA")</f>
        <v>2026-08-03</v>
      </c>
      <c r="J774" t="s">
        <v>49</v>
      </c>
      <c r="K774">
        <v>3</v>
      </c>
      <c r="L774" s="3">
        <v>63714</v>
      </c>
      <c r="M774" t="s">
        <v>34</v>
      </c>
      <c r="N774" t="s">
        <v>43</v>
      </c>
      <c r="O774">
        <v>0.25</v>
      </c>
      <c r="P774" t="s">
        <v>51</v>
      </c>
      <c r="Q774" t="s">
        <v>86</v>
      </c>
      <c r="R774">
        <v>2026</v>
      </c>
      <c r="S774">
        <f>IF(AND(HR_Employees[[#This Row],[Attrition]]="YES",HR_Employees[[#This Row],[Exit_Date]]&lt;&gt;""),YEAR(HR_Employees[[#This Row],[Exit_Date]]),"")</f>
        <v>2026</v>
      </c>
    </row>
    <row r="775" spans="1:19">
      <c r="A775" t="s">
        <v>1217</v>
      </c>
      <c r="B775" t="s">
        <v>686</v>
      </c>
      <c r="C775">
        <v>41</v>
      </c>
      <c r="D775" t="s">
        <v>61</v>
      </c>
      <c r="E775" t="s">
        <v>21</v>
      </c>
      <c r="F775" t="s">
        <v>109</v>
      </c>
      <c r="G775" t="s">
        <v>48</v>
      </c>
      <c r="H775" s="2">
        <v>45943</v>
      </c>
      <c r="I775" s="2" t="str">
        <f>IFERROR(VLOOKUP(HR_Employees[[#This Row],[Employee_ID]],'[1]Synthetic Exit Data'!$A$2:$E$235,4,0)," NA")</f>
        <v xml:space="preserve"> NA</v>
      </c>
      <c r="J775" t="s">
        <v>24</v>
      </c>
      <c r="K775">
        <v>3</v>
      </c>
      <c r="L775" s="3">
        <v>26306</v>
      </c>
      <c r="M775" t="s">
        <v>82</v>
      </c>
      <c r="N775" t="s">
        <v>43</v>
      </c>
      <c r="O775">
        <v>1</v>
      </c>
      <c r="P775" t="s">
        <v>35</v>
      </c>
      <c r="Q775" t="s">
        <v>44</v>
      </c>
      <c r="R775">
        <v>2025</v>
      </c>
      <c r="S775" t="str">
        <f>IF(AND(HR_Employees[[#This Row],[Attrition]]="YES",HR_Employees[[#This Row],[Exit_Date]]&lt;&gt;""),YEAR(HR_Employees[[#This Row],[Exit_Date]]),"")</f>
        <v/>
      </c>
    </row>
    <row r="776" spans="1:19">
      <c r="A776" t="s">
        <v>1218</v>
      </c>
      <c r="B776" t="s">
        <v>634</v>
      </c>
      <c r="C776">
        <v>43</v>
      </c>
      <c r="D776" t="s">
        <v>61</v>
      </c>
      <c r="E776" t="s">
        <v>21</v>
      </c>
      <c r="F776" t="s">
        <v>22</v>
      </c>
      <c r="G776" t="s">
        <v>23</v>
      </c>
      <c r="H776" s="2">
        <v>46208</v>
      </c>
      <c r="I776" s="2" t="str">
        <f>IFERROR(VLOOKUP(HR_Employees[[#This Row],[Employee_ID]],'[1]Synthetic Exit Data'!$A$2:$E$235,4,0)," NA")</f>
        <v>2026-09-01</v>
      </c>
      <c r="J776" t="s">
        <v>49</v>
      </c>
      <c r="K776">
        <v>3</v>
      </c>
      <c r="L776" s="3">
        <v>79495</v>
      </c>
      <c r="M776" t="s">
        <v>66</v>
      </c>
      <c r="N776" t="s">
        <v>43</v>
      </c>
      <c r="O776">
        <v>0.08</v>
      </c>
      <c r="P776" t="s">
        <v>51</v>
      </c>
      <c r="Q776" t="s">
        <v>62</v>
      </c>
      <c r="R776">
        <v>2026</v>
      </c>
      <c r="S776">
        <f>IF(AND(HR_Employees[[#This Row],[Attrition]]="YES",HR_Employees[[#This Row],[Exit_Date]]&lt;&gt;""),YEAR(HR_Employees[[#This Row],[Exit_Date]]),"")</f>
        <v>2026</v>
      </c>
    </row>
    <row r="777" spans="1:19">
      <c r="A777" t="s">
        <v>1219</v>
      </c>
      <c r="B777" t="s">
        <v>425</v>
      </c>
      <c r="C777">
        <v>40</v>
      </c>
      <c r="D777" t="s">
        <v>61</v>
      </c>
      <c r="E777" t="s">
        <v>21</v>
      </c>
      <c r="F777" t="s">
        <v>40</v>
      </c>
      <c r="G777" t="s">
        <v>41</v>
      </c>
      <c r="H777" s="2">
        <v>45304</v>
      </c>
      <c r="I777" s="2" t="str">
        <f>IFERROR(VLOOKUP(HR_Employees[[#This Row],[Employee_ID]],'[1]Synthetic Exit Data'!$A$2:$E$235,4,0)," NA")</f>
        <v xml:space="preserve"> NA</v>
      </c>
      <c r="J777" t="s">
        <v>24</v>
      </c>
      <c r="K777">
        <v>4</v>
      </c>
      <c r="L777" s="3">
        <v>32143</v>
      </c>
      <c r="M777" t="s">
        <v>42</v>
      </c>
      <c r="N777" t="s">
        <v>56</v>
      </c>
      <c r="O777">
        <v>2.75</v>
      </c>
      <c r="P777" t="s">
        <v>51</v>
      </c>
      <c r="Q777" t="s">
        <v>76</v>
      </c>
      <c r="R777">
        <v>2024</v>
      </c>
      <c r="S777" t="str">
        <f>IF(AND(HR_Employees[[#This Row],[Attrition]]="YES",HR_Employees[[#This Row],[Exit_Date]]&lt;&gt;""),YEAR(HR_Employees[[#This Row],[Exit_Date]]),"")</f>
        <v/>
      </c>
    </row>
    <row r="778" spans="1:19">
      <c r="A778" t="s">
        <v>1220</v>
      </c>
      <c r="B778" t="s">
        <v>318</v>
      </c>
      <c r="C778">
        <v>24</v>
      </c>
      <c r="D778" t="s">
        <v>39</v>
      </c>
      <c r="E778" t="s">
        <v>32</v>
      </c>
      <c r="F778" t="s">
        <v>40</v>
      </c>
      <c r="G778" t="s">
        <v>23</v>
      </c>
      <c r="H778" s="2">
        <v>46216</v>
      </c>
      <c r="I778" s="2" t="str">
        <f>IFERROR(VLOOKUP(HR_Employees[[#This Row],[Employee_ID]],'[1]Synthetic Exit Data'!$A$2:$E$235,4,0)," NA")</f>
        <v xml:space="preserve"> NA</v>
      </c>
      <c r="J778" t="s">
        <v>24</v>
      </c>
      <c r="K778">
        <v>4</v>
      </c>
      <c r="L778" s="3">
        <v>29478</v>
      </c>
      <c r="M778" t="s">
        <v>82</v>
      </c>
      <c r="N778" t="s">
        <v>43</v>
      </c>
      <c r="O778">
        <v>0.25</v>
      </c>
      <c r="P778" t="s">
        <v>51</v>
      </c>
      <c r="Q778" t="s">
        <v>44</v>
      </c>
      <c r="R778">
        <v>2026</v>
      </c>
      <c r="S778" t="str">
        <f>IF(AND(HR_Employees[[#This Row],[Attrition]]="YES",HR_Employees[[#This Row],[Exit_Date]]&lt;&gt;""),YEAR(HR_Employees[[#This Row],[Exit_Date]]),"")</f>
        <v/>
      </c>
    </row>
    <row r="779" spans="1:19">
      <c r="A779" t="s">
        <v>1221</v>
      </c>
      <c r="B779" t="s">
        <v>999</v>
      </c>
      <c r="C779">
        <v>23</v>
      </c>
      <c r="D779" t="s">
        <v>39</v>
      </c>
      <c r="E779" t="s">
        <v>32</v>
      </c>
      <c r="F779" t="s">
        <v>22</v>
      </c>
      <c r="G779" t="s">
        <v>23</v>
      </c>
      <c r="H779" s="2">
        <v>45821</v>
      </c>
      <c r="I779" s="2" t="str">
        <f>IFERROR(VLOOKUP(HR_Employees[[#This Row],[Employee_ID]],'[1]Synthetic Exit Data'!$A$2:$E$235,4,0)," NA")</f>
        <v xml:space="preserve"> NA</v>
      </c>
      <c r="J779" t="s">
        <v>24</v>
      </c>
      <c r="K779">
        <v>4</v>
      </c>
      <c r="L779" s="3">
        <v>65131</v>
      </c>
      <c r="M779" t="s">
        <v>34</v>
      </c>
      <c r="N779" t="s">
        <v>56</v>
      </c>
      <c r="O779">
        <v>1.33</v>
      </c>
      <c r="P779" t="s">
        <v>27</v>
      </c>
      <c r="Q779" t="s">
        <v>76</v>
      </c>
      <c r="R779">
        <v>2025</v>
      </c>
      <c r="S779" t="str">
        <f>IF(AND(HR_Employees[[#This Row],[Attrition]]="YES",HR_Employees[[#This Row],[Exit_Date]]&lt;&gt;""),YEAR(HR_Employees[[#This Row],[Exit_Date]]),"")</f>
        <v/>
      </c>
    </row>
    <row r="780" spans="1:19">
      <c r="A780" t="s">
        <v>1222</v>
      </c>
      <c r="B780" t="s">
        <v>327</v>
      </c>
      <c r="C780">
        <v>40</v>
      </c>
      <c r="D780" t="s">
        <v>61</v>
      </c>
      <c r="E780" t="s">
        <v>21</v>
      </c>
      <c r="F780" t="s">
        <v>47</v>
      </c>
      <c r="G780" t="s">
        <v>48</v>
      </c>
      <c r="H780" s="2">
        <v>44650</v>
      </c>
      <c r="I780" s="2" t="str">
        <f>IFERROR(VLOOKUP(HR_Employees[[#This Row],[Employee_ID]],'[1]Synthetic Exit Data'!$A$2:$E$235,4,0)," NA")</f>
        <v>2022-04-16</v>
      </c>
      <c r="J780" t="s">
        <v>49</v>
      </c>
      <c r="K780">
        <v>3</v>
      </c>
      <c r="L780" s="3">
        <v>86451</v>
      </c>
      <c r="M780" t="s">
        <v>66</v>
      </c>
      <c r="N780" t="s">
        <v>50</v>
      </c>
      <c r="O780">
        <v>4.42</v>
      </c>
      <c r="P780" t="s">
        <v>51</v>
      </c>
      <c r="Q780" t="s">
        <v>28</v>
      </c>
      <c r="R780">
        <v>2022</v>
      </c>
      <c r="S780">
        <f>IF(AND(HR_Employees[[#This Row],[Attrition]]="YES",HR_Employees[[#This Row],[Exit_Date]]&lt;&gt;""),YEAR(HR_Employees[[#This Row],[Exit_Date]]),"")</f>
        <v>2022</v>
      </c>
    </row>
    <row r="781" spans="1:19">
      <c r="A781" t="s">
        <v>1223</v>
      </c>
      <c r="B781" t="s">
        <v>96</v>
      </c>
      <c r="C781">
        <v>34</v>
      </c>
      <c r="D781" t="s">
        <v>31</v>
      </c>
      <c r="E781" t="s">
        <v>32</v>
      </c>
      <c r="F781" t="s">
        <v>47</v>
      </c>
      <c r="G781" t="s">
        <v>33</v>
      </c>
      <c r="H781" s="2">
        <v>45425</v>
      </c>
      <c r="I781" s="2" t="str">
        <f>IFERROR(VLOOKUP(HR_Employees[[#This Row],[Employee_ID]],'[1]Synthetic Exit Data'!$A$2:$E$235,4,0)," NA")</f>
        <v xml:space="preserve"> NA</v>
      </c>
      <c r="J781" t="s">
        <v>24</v>
      </c>
      <c r="K781">
        <v>2</v>
      </c>
      <c r="L781" s="3">
        <v>55132</v>
      </c>
      <c r="M781" t="s">
        <v>34</v>
      </c>
      <c r="N781" t="s">
        <v>56</v>
      </c>
      <c r="O781">
        <v>2.42</v>
      </c>
      <c r="P781" t="s">
        <v>125</v>
      </c>
      <c r="Q781" t="s">
        <v>92</v>
      </c>
      <c r="R781">
        <v>2024</v>
      </c>
      <c r="S781" t="str">
        <f>IF(AND(HR_Employees[[#This Row],[Attrition]]="YES",HR_Employees[[#This Row],[Exit_Date]]&lt;&gt;""),YEAR(HR_Employees[[#This Row],[Exit_Date]]),"")</f>
        <v/>
      </c>
    </row>
    <row r="782" spans="1:19">
      <c r="A782" t="s">
        <v>1224</v>
      </c>
      <c r="B782" t="s">
        <v>1225</v>
      </c>
      <c r="C782">
        <v>43</v>
      </c>
      <c r="D782" t="s">
        <v>61</v>
      </c>
      <c r="E782" t="s">
        <v>21</v>
      </c>
      <c r="F782" t="s">
        <v>47</v>
      </c>
      <c r="G782" t="s">
        <v>23</v>
      </c>
      <c r="H782" s="2">
        <v>46004</v>
      </c>
      <c r="I782" s="2" t="str">
        <f>IFERROR(VLOOKUP(HR_Employees[[#This Row],[Employee_ID]],'[1]Synthetic Exit Data'!$A$2:$E$235,4,0)," NA")</f>
        <v xml:space="preserve"> NA</v>
      </c>
      <c r="J782" t="s">
        <v>24</v>
      </c>
      <c r="K782">
        <v>2</v>
      </c>
      <c r="L782" s="3">
        <v>35945</v>
      </c>
      <c r="M782" t="s">
        <v>42</v>
      </c>
      <c r="N782" t="s">
        <v>43</v>
      </c>
      <c r="O782">
        <v>0.83</v>
      </c>
      <c r="P782" t="s">
        <v>51</v>
      </c>
      <c r="Q782" t="s">
        <v>36</v>
      </c>
      <c r="R782">
        <v>2025</v>
      </c>
      <c r="S782" t="str">
        <f>IF(AND(HR_Employees[[#This Row],[Attrition]]="YES",HR_Employees[[#This Row],[Exit_Date]]&lt;&gt;""),YEAR(HR_Employees[[#This Row],[Exit_Date]]),"")</f>
        <v/>
      </c>
    </row>
    <row r="783" spans="1:19">
      <c r="A783" t="s">
        <v>1226</v>
      </c>
      <c r="B783" t="s">
        <v>111</v>
      </c>
      <c r="C783">
        <v>49</v>
      </c>
      <c r="D783" t="s">
        <v>20</v>
      </c>
      <c r="E783" t="s">
        <v>32</v>
      </c>
      <c r="F783" t="s">
        <v>22</v>
      </c>
      <c r="G783" t="s">
        <v>33</v>
      </c>
      <c r="H783" s="2">
        <v>41042</v>
      </c>
      <c r="I783" s="2" t="str">
        <f>IFERROR(VLOOKUP(HR_Employees[[#This Row],[Employee_ID]],'[1]Synthetic Exit Data'!$A$2:$E$235,4,0)," NA")</f>
        <v xml:space="preserve"> NA</v>
      </c>
      <c r="J783" t="s">
        <v>24</v>
      </c>
      <c r="K783">
        <v>3</v>
      </c>
      <c r="L783" s="3">
        <v>43586</v>
      </c>
      <c r="M783" t="s">
        <v>42</v>
      </c>
      <c r="N783" t="s">
        <v>26</v>
      </c>
      <c r="O783">
        <v>14.42</v>
      </c>
      <c r="P783" t="s">
        <v>35</v>
      </c>
      <c r="Q783" t="s">
        <v>44</v>
      </c>
      <c r="R783">
        <v>2012</v>
      </c>
      <c r="S783" t="str">
        <f>IF(AND(HR_Employees[[#This Row],[Attrition]]="YES",HR_Employees[[#This Row],[Exit_Date]]&lt;&gt;""),YEAR(HR_Employees[[#This Row],[Exit_Date]]),"")</f>
        <v/>
      </c>
    </row>
    <row r="784" spans="1:19">
      <c r="A784" t="s">
        <v>1227</v>
      </c>
      <c r="B784" t="s">
        <v>257</v>
      </c>
      <c r="C784">
        <v>48</v>
      </c>
      <c r="D784" t="s">
        <v>20</v>
      </c>
      <c r="E784" t="s">
        <v>21</v>
      </c>
      <c r="F784" t="s">
        <v>22</v>
      </c>
      <c r="G784" t="s">
        <v>23</v>
      </c>
      <c r="H784" s="2">
        <v>45425</v>
      </c>
      <c r="I784" s="2" t="str">
        <f>IFERROR(VLOOKUP(HR_Employees[[#This Row],[Employee_ID]],'[1]Synthetic Exit Data'!$A$2:$E$235,4,0)," NA")</f>
        <v xml:space="preserve"> NA</v>
      </c>
      <c r="J784" t="s">
        <v>24</v>
      </c>
      <c r="K784">
        <v>3</v>
      </c>
      <c r="L784" s="3">
        <v>69365</v>
      </c>
      <c r="M784" t="s">
        <v>34</v>
      </c>
      <c r="N784" t="s">
        <v>56</v>
      </c>
      <c r="O784">
        <v>2.42</v>
      </c>
      <c r="P784" t="s">
        <v>51</v>
      </c>
      <c r="Q784" t="s">
        <v>62</v>
      </c>
      <c r="R784">
        <v>2024</v>
      </c>
      <c r="S784" t="str">
        <f>IF(AND(HR_Employees[[#This Row],[Attrition]]="YES",HR_Employees[[#This Row],[Exit_Date]]&lt;&gt;""),YEAR(HR_Employees[[#This Row],[Exit_Date]]),"")</f>
        <v/>
      </c>
    </row>
    <row r="785" spans="1:19">
      <c r="A785" t="s">
        <v>1228</v>
      </c>
      <c r="B785" t="s">
        <v>1146</v>
      </c>
      <c r="C785">
        <v>28</v>
      </c>
      <c r="D785" t="s">
        <v>31</v>
      </c>
      <c r="E785" t="s">
        <v>32</v>
      </c>
      <c r="F785" t="s">
        <v>40</v>
      </c>
      <c r="G785" t="s">
        <v>23</v>
      </c>
      <c r="H785" s="2">
        <v>46125</v>
      </c>
      <c r="I785" s="2" t="str">
        <f>IFERROR(VLOOKUP(HR_Employees[[#This Row],[Employee_ID]],'[1]Synthetic Exit Data'!$A$2:$E$235,4,0)," NA")</f>
        <v xml:space="preserve"> NA</v>
      </c>
      <c r="J785" t="s">
        <v>24</v>
      </c>
      <c r="K785">
        <v>4</v>
      </c>
      <c r="L785" s="3">
        <v>63029</v>
      </c>
      <c r="M785" t="s">
        <v>34</v>
      </c>
      <c r="N785" t="s">
        <v>43</v>
      </c>
      <c r="O785">
        <v>0.5</v>
      </c>
      <c r="P785" t="s">
        <v>27</v>
      </c>
      <c r="Q785" t="s">
        <v>44</v>
      </c>
      <c r="R785">
        <v>2026</v>
      </c>
      <c r="S785" t="str">
        <f>IF(AND(HR_Employees[[#This Row],[Attrition]]="YES",HR_Employees[[#This Row],[Exit_Date]]&lt;&gt;""),YEAR(HR_Employees[[#This Row],[Exit_Date]]),"")</f>
        <v/>
      </c>
    </row>
    <row r="786" spans="1:19">
      <c r="A786" t="s">
        <v>1229</v>
      </c>
      <c r="B786" t="s">
        <v>866</v>
      </c>
      <c r="C786">
        <v>25</v>
      </c>
      <c r="D786" t="s">
        <v>39</v>
      </c>
      <c r="E786" t="s">
        <v>21</v>
      </c>
      <c r="F786" t="s">
        <v>55</v>
      </c>
      <c r="G786" t="s">
        <v>23</v>
      </c>
      <c r="H786" s="2">
        <v>43172</v>
      </c>
      <c r="I786" s="2" t="str">
        <f>IFERROR(VLOOKUP(HR_Employees[[#This Row],[Employee_ID]],'[1]Synthetic Exit Data'!$A$2:$E$235,4,0)," NA")</f>
        <v xml:space="preserve"> NA</v>
      </c>
      <c r="J786" t="s">
        <v>24</v>
      </c>
      <c r="K786">
        <v>4</v>
      </c>
      <c r="L786" s="3">
        <v>46618</v>
      </c>
      <c r="M786" t="s">
        <v>42</v>
      </c>
      <c r="N786" t="s">
        <v>79</v>
      </c>
      <c r="O786">
        <v>8.58</v>
      </c>
      <c r="P786" t="s">
        <v>27</v>
      </c>
      <c r="Q786" t="s">
        <v>86</v>
      </c>
      <c r="R786">
        <v>2018</v>
      </c>
      <c r="S786" t="str">
        <f>IF(AND(HR_Employees[[#This Row],[Attrition]]="YES",HR_Employees[[#This Row],[Exit_Date]]&lt;&gt;""),YEAR(HR_Employees[[#This Row],[Exit_Date]]),"")</f>
        <v/>
      </c>
    </row>
    <row r="787" spans="1:19">
      <c r="A787" t="s">
        <v>1230</v>
      </c>
      <c r="B787" t="s">
        <v>926</v>
      </c>
      <c r="C787">
        <v>36</v>
      </c>
      <c r="D787" t="s">
        <v>61</v>
      </c>
      <c r="E787" t="s">
        <v>21</v>
      </c>
      <c r="F787" t="s">
        <v>22</v>
      </c>
      <c r="G787" t="s">
        <v>23</v>
      </c>
      <c r="H787" s="2">
        <v>46066</v>
      </c>
      <c r="I787" s="2" t="str">
        <f>IFERROR(VLOOKUP(HR_Employees[[#This Row],[Employee_ID]],'[1]Synthetic Exit Data'!$A$2:$E$235,4,0)," NA")</f>
        <v xml:space="preserve"> NA</v>
      </c>
      <c r="J787" t="s">
        <v>24</v>
      </c>
      <c r="K787">
        <v>3</v>
      </c>
      <c r="L787" s="3">
        <v>83629</v>
      </c>
      <c r="M787" t="s">
        <v>66</v>
      </c>
      <c r="N787" t="s">
        <v>43</v>
      </c>
      <c r="O787">
        <v>0.67</v>
      </c>
      <c r="P787" t="s">
        <v>27</v>
      </c>
      <c r="Q787" t="s">
        <v>76</v>
      </c>
      <c r="R787">
        <v>2026</v>
      </c>
      <c r="S787" t="str">
        <f>IF(AND(HR_Employees[[#This Row],[Attrition]]="YES",HR_Employees[[#This Row],[Exit_Date]]&lt;&gt;""),YEAR(HR_Employees[[#This Row],[Exit_Date]]),"")</f>
        <v/>
      </c>
    </row>
    <row r="788" spans="1:19">
      <c r="A788" t="s">
        <v>1231</v>
      </c>
      <c r="B788" t="s">
        <v>1232</v>
      </c>
      <c r="C788">
        <v>39</v>
      </c>
      <c r="D788" t="s">
        <v>61</v>
      </c>
      <c r="E788" t="s">
        <v>21</v>
      </c>
      <c r="F788" t="s">
        <v>47</v>
      </c>
      <c r="G788" t="s">
        <v>33</v>
      </c>
      <c r="H788" s="2">
        <v>45090</v>
      </c>
      <c r="I788" s="2" t="str">
        <f>IFERROR(VLOOKUP(HR_Employees[[#This Row],[Employee_ID]],'[1]Synthetic Exit Data'!$A$2:$E$235,4,0)," NA")</f>
        <v xml:space="preserve"> NA</v>
      </c>
      <c r="J788" t="s">
        <v>24</v>
      </c>
      <c r="K788">
        <v>4</v>
      </c>
      <c r="L788" s="3">
        <v>114106</v>
      </c>
      <c r="M788" t="s">
        <v>25</v>
      </c>
      <c r="N788" t="s">
        <v>50</v>
      </c>
      <c r="O788">
        <v>3.33</v>
      </c>
      <c r="P788" t="s">
        <v>35</v>
      </c>
      <c r="Q788" t="s">
        <v>28</v>
      </c>
      <c r="R788">
        <v>2023</v>
      </c>
      <c r="S788" t="str">
        <f>IF(AND(HR_Employees[[#This Row],[Attrition]]="YES",HR_Employees[[#This Row],[Exit_Date]]&lt;&gt;""),YEAR(HR_Employees[[#This Row],[Exit_Date]]),"")</f>
        <v/>
      </c>
    </row>
    <row r="789" spans="1:19">
      <c r="A789" t="s">
        <v>1233</v>
      </c>
      <c r="B789" t="s">
        <v>819</v>
      </c>
      <c r="C789">
        <v>33</v>
      </c>
      <c r="D789" t="s">
        <v>31</v>
      </c>
      <c r="E789" t="s">
        <v>21</v>
      </c>
      <c r="F789" t="s">
        <v>47</v>
      </c>
      <c r="G789" t="s">
        <v>23</v>
      </c>
      <c r="H789" s="2">
        <v>45760</v>
      </c>
      <c r="I789" s="2" t="str">
        <f>IFERROR(VLOOKUP(HR_Employees[[#This Row],[Employee_ID]],'[1]Synthetic Exit Data'!$A$2:$E$235,4,0)," NA")</f>
        <v xml:space="preserve"> NA</v>
      </c>
      <c r="J789" t="s">
        <v>24</v>
      </c>
      <c r="K789">
        <v>3</v>
      </c>
      <c r="L789" s="3">
        <v>33172</v>
      </c>
      <c r="M789" t="s">
        <v>42</v>
      </c>
      <c r="N789" t="s">
        <v>56</v>
      </c>
      <c r="O789">
        <v>1.5</v>
      </c>
      <c r="P789" t="s">
        <v>27</v>
      </c>
      <c r="Q789" t="s">
        <v>44</v>
      </c>
      <c r="R789">
        <v>2025</v>
      </c>
      <c r="S789" t="str">
        <f>IF(AND(HR_Employees[[#This Row],[Attrition]]="YES",HR_Employees[[#This Row],[Exit_Date]]&lt;&gt;""),YEAR(HR_Employees[[#This Row],[Exit_Date]]),"")</f>
        <v/>
      </c>
    </row>
    <row r="790" spans="1:19">
      <c r="A790" t="s">
        <v>1234</v>
      </c>
      <c r="B790" t="s">
        <v>783</v>
      </c>
      <c r="C790">
        <v>33</v>
      </c>
      <c r="D790" t="s">
        <v>31</v>
      </c>
      <c r="E790" t="s">
        <v>32</v>
      </c>
      <c r="F790" t="s">
        <v>55</v>
      </c>
      <c r="G790" t="s">
        <v>23</v>
      </c>
      <c r="H790" s="2">
        <v>43325</v>
      </c>
      <c r="I790" s="2" t="str">
        <f>IFERROR(VLOOKUP(HR_Employees[[#This Row],[Employee_ID]],'[1]Synthetic Exit Data'!$A$2:$E$235,4,0)," NA")</f>
        <v xml:space="preserve"> NA</v>
      </c>
      <c r="J790" t="s">
        <v>24</v>
      </c>
      <c r="K790">
        <v>4</v>
      </c>
      <c r="L790" s="3">
        <v>85726</v>
      </c>
      <c r="M790" t="s">
        <v>66</v>
      </c>
      <c r="N790" t="s">
        <v>79</v>
      </c>
      <c r="O790">
        <v>8.17</v>
      </c>
      <c r="P790" t="s">
        <v>57</v>
      </c>
      <c r="Q790" t="s">
        <v>92</v>
      </c>
      <c r="R790">
        <v>2018</v>
      </c>
      <c r="S790" t="str">
        <f>IF(AND(HR_Employees[[#This Row],[Attrition]]="YES",HR_Employees[[#This Row],[Exit_Date]]&lt;&gt;""),YEAR(HR_Employees[[#This Row],[Exit_Date]]),"")</f>
        <v/>
      </c>
    </row>
    <row r="791" spans="1:19">
      <c r="A791" t="s">
        <v>1235</v>
      </c>
      <c r="B791" t="s">
        <v>616</v>
      </c>
      <c r="C791">
        <v>23</v>
      </c>
      <c r="D791" t="s">
        <v>39</v>
      </c>
      <c r="E791" t="s">
        <v>21</v>
      </c>
      <c r="F791" t="s">
        <v>40</v>
      </c>
      <c r="G791" t="s">
        <v>48</v>
      </c>
      <c r="H791" s="2">
        <v>46124</v>
      </c>
      <c r="I791" s="2" t="str">
        <f>IFERROR(VLOOKUP(HR_Employees[[#This Row],[Employee_ID]],'[1]Synthetic Exit Data'!$A$2:$E$235,4,0)," NA")</f>
        <v>2026-09-02</v>
      </c>
      <c r="J791" t="s">
        <v>49</v>
      </c>
      <c r="K791">
        <v>4</v>
      </c>
      <c r="L791" s="3">
        <v>28583</v>
      </c>
      <c r="M791" t="s">
        <v>82</v>
      </c>
      <c r="N791" t="s">
        <v>43</v>
      </c>
      <c r="O791">
        <v>0.42</v>
      </c>
      <c r="P791" t="s">
        <v>27</v>
      </c>
      <c r="Q791" t="s">
        <v>76</v>
      </c>
      <c r="R791">
        <v>2026</v>
      </c>
      <c r="S791">
        <f>IF(AND(HR_Employees[[#This Row],[Attrition]]="YES",HR_Employees[[#This Row],[Exit_Date]]&lt;&gt;""),YEAR(HR_Employees[[#This Row],[Exit_Date]]),"")</f>
        <v>2026</v>
      </c>
    </row>
    <row r="792" spans="1:19">
      <c r="A792" t="s">
        <v>1236</v>
      </c>
      <c r="B792" t="s">
        <v>1116</v>
      </c>
      <c r="C792">
        <v>29</v>
      </c>
      <c r="D792" t="s">
        <v>31</v>
      </c>
      <c r="E792" t="s">
        <v>32</v>
      </c>
      <c r="F792" t="s">
        <v>55</v>
      </c>
      <c r="G792" t="s">
        <v>48</v>
      </c>
      <c r="H792" s="2">
        <v>45517</v>
      </c>
      <c r="I792" s="2" t="str">
        <f>IFERROR(VLOOKUP(HR_Employees[[#This Row],[Employee_ID]],'[1]Synthetic Exit Data'!$A$2:$E$235,4,0)," NA")</f>
        <v xml:space="preserve"> NA</v>
      </c>
      <c r="J792" t="s">
        <v>24</v>
      </c>
      <c r="K792">
        <v>3</v>
      </c>
      <c r="L792" s="3">
        <v>71636</v>
      </c>
      <c r="M792" t="s">
        <v>34</v>
      </c>
      <c r="N792" t="s">
        <v>56</v>
      </c>
      <c r="O792">
        <v>2.17</v>
      </c>
      <c r="P792" t="s">
        <v>125</v>
      </c>
      <c r="Q792" t="s">
        <v>58</v>
      </c>
      <c r="R792">
        <v>2024</v>
      </c>
      <c r="S792" t="str">
        <f>IF(AND(HR_Employees[[#This Row],[Attrition]]="YES",HR_Employees[[#This Row],[Exit_Date]]&lt;&gt;""),YEAR(HR_Employees[[#This Row],[Exit_Date]]),"")</f>
        <v/>
      </c>
    </row>
    <row r="793" spans="1:19">
      <c r="A793" t="s">
        <v>1237</v>
      </c>
      <c r="B793" t="s">
        <v>997</v>
      </c>
      <c r="C793">
        <v>26</v>
      </c>
      <c r="D793" t="s">
        <v>31</v>
      </c>
      <c r="E793" t="s">
        <v>32</v>
      </c>
      <c r="F793" t="s">
        <v>151</v>
      </c>
      <c r="G793" t="s">
        <v>33</v>
      </c>
      <c r="H793" s="2">
        <v>44421</v>
      </c>
      <c r="I793" s="2" t="str">
        <f>IFERROR(VLOOKUP(HR_Employees[[#This Row],[Employee_ID]],'[1]Synthetic Exit Data'!$A$2:$E$235,4,0)," NA")</f>
        <v xml:space="preserve"> NA</v>
      </c>
      <c r="J793" t="s">
        <v>24</v>
      </c>
      <c r="K793">
        <v>3</v>
      </c>
      <c r="L793" s="3">
        <v>89518</v>
      </c>
      <c r="M793" t="s">
        <v>66</v>
      </c>
      <c r="N793" t="s">
        <v>79</v>
      </c>
      <c r="O793">
        <v>5.17</v>
      </c>
      <c r="P793" t="s">
        <v>57</v>
      </c>
      <c r="Q793" t="s">
        <v>44</v>
      </c>
      <c r="R793">
        <v>2021</v>
      </c>
      <c r="S793" t="str">
        <f>IF(AND(HR_Employees[[#This Row],[Attrition]]="YES",HR_Employees[[#This Row],[Exit_Date]]&lt;&gt;""),YEAR(HR_Employees[[#This Row],[Exit_Date]]),"")</f>
        <v/>
      </c>
    </row>
    <row r="794" spans="1:19">
      <c r="A794" t="s">
        <v>1238</v>
      </c>
      <c r="B794" t="s">
        <v>882</v>
      </c>
      <c r="C794">
        <v>35</v>
      </c>
      <c r="D794" t="s">
        <v>31</v>
      </c>
      <c r="E794" t="s">
        <v>32</v>
      </c>
      <c r="F794" t="s">
        <v>151</v>
      </c>
      <c r="G794" t="s">
        <v>48</v>
      </c>
      <c r="H794" s="2">
        <v>46155</v>
      </c>
      <c r="I794" s="2" t="str">
        <f>IFERROR(VLOOKUP(HR_Employees[[#This Row],[Employee_ID]],'[1]Synthetic Exit Data'!$A$2:$E$235,4,0)," NA")</f>
        <v xml:space="preserve"> NA</v>
      </c>
      <c r="J794" t="s">
        <v>24</v>
      </c>
      <c r="K794">
        <v>4</v>
      </c>
      <c r="L794" s="3">
        <v>48455</v>
      </c>
      <c r="M794" t="s">
        <v>42</v>
      </c>
      <c r="N794" t="s">
        <v>43</v>
      </c>
      <c r="O794">
        <v>0.42</v>
      </c>
      <c r="P794" t="s">
        <v>27</v>
      </c>
      <c r="Q794" t="s">
        <v>28</v>
      </c>
      <c r="R794">
        <v>2026</v>
      </c>
      <c r="S794" t="str">
        <f>IF(AND(HR_Employees[[#This Row],[Attrition]]="YES",HR_Employees[[#This Row],[Exit_Date]]&lt;&gt;""),YEAR(HR_Employees[[#This Row],[Exit_Date]]),"")</f>
        <v/>
      </c>
    </row>
    <row r="795" spans="1:19">
      <c r="A795" t="s">
        <v>1239</v>
      </c>
      <c r="B795" t="s">
        <v>901</v>
      </c>
      <c r="C795">
        <v>27</v>
      </c>
      <c r="D795" t="s">
        <v>31</v>
      </c>
      <c r="E795" t="s">
        <v>21</v>
      </c>
      <c r="F795" t="s">
        <v>109</v>
      </c>
      <c r="G795" t="s">
        <v>23</v>
      </c>
      <c r="H795" s="2">
        <v>45243</v>
      </c>
      <c r="I795" s="2" t="str">
        <f>IFERROR(VLOOKUP(HR_Employees[[#This Row],[Employee_ID]],'[1]Synthetic Exit Data'!$A$2:$E$235,4,0)," NA")</f>
        <v xml:space="preserve"> NA</v>
      </c>
      <c r="J795" t="s">
        <v>24</v>
      </c>
      <c r="K795">
        <v>3</v>
      </c>
      <c r="L795" s="3">
        <v>37836</v>
      </c>
      <c r="M795" t="s">
        <v>42</v>
      </c>
      <c r="N795" t="s">
        <v>56</v>
      </c>
      <c r="O795">
        <v>2.92</v>
      </c>
      <c r="P795" t="s">
        <v>57</v>
      </c>
      <c r="Q795" t="s">
        <v>36</v>
      </c>
      <c r="R795">
        <v>2023</v>
      </c>
      <c r="S795" t="str">
        <f>IF(AND(HR_Employees[[#This Row],[Attrition]]="YES",HR_Employees[[#This Row],[Exit_Date]]&lt;&gt;""),YEAR(HR_Employees[[#This Row],[Exit_Date]]),"")</f>
        <v/>
      </c>
    </row>
    <row r="796" spans="1:19">
      <c r="A796" t="s">
        <v>1240</v>
      </c>
      <c r="B796" t="s">
        <v>1113</v>
      </c>
      <c r="C796">
        <v>43</v>
      </c>
      <c r="D796" t="s">
        <v>61</v>
      </c>
      <c r="E796" t="s">
        <v>32</v>
      </c>
      <c r="F796" t="s">
        <v>47</v>
      </c>
      <c r="G796" t="s">
        <v>33</v>
      </c>
      <c r="H796" s="2">
        <v>45029</v>
      </c>
      <c r="I796" s="2" t="str">
        <f>IFERROR(VLOOKUP(HR_Employees[[#This Row],[Employee_ID]],'[1]Synthetic Exit Data'!$A$2:$E$235,4,0)," NA")</f>
        <v xml:space="preserve"> NA</v>
      </c>
      <c r="J796" t="s">
        <v>24</v>
      </c>
      <c r="K796">
        <v>5</v>
      </c>
      <c r="L796" s="3">
        <v>24299</v>
      </c>
      <c r="M796" t="s">
        <v>82</v>
      </c>
      <c r="N796" t="s">
        <v>50</v>
      </c>
      <c r="O796">
        <v>3.5</v>
      </c>
      <c r="P796" t="s">
        <v>35</v>
      </c>
      <c r="Q796" t="s">
        <v>44</v>
      </c>
      <c r="R796">
        <v>2023</v>
      </c>
      <c r="S796" t="str">
        <f>IF(AND(HR_Employees[[#This Row],[Attrition]]="YES",HR_Employees[[#This Row],[Exit_Date]]&lt;&gt;""),YEAR(HR_Employees[[#This Row],[Exit_Date]]),"")</f>
        <v/>
      </c>
    </row>
    <row r="797" spans="1:19">
      <c r="A797" t="s">
        <v>1241</v>
      </c>
      <c r="B797" t="s">
        <v>1242</v>
      </c>
      <c r="C797">
        <v>28</v>
      </c>
      <c r="D797" t="s">
        <v>31</v>
      </c>
      <c r="E797" t="s">
        <v>32</v>
      </c>
      <c r="F797" t="s">
        <v>40</v>
      </c>
      <c r="G797" t="s">
        <v>114</v>
      </c>
      <c r="H797" s="2">
        <v>45198</v>
      </c>
      <c r="I797" s="2" t="str">
        <f>IFERROR(VLOOKUP(HR_Employees[[#This Row],[Employee_ID]],'[1]Synthetic Exit Data'!$A$2:$E$235,4,0)," NA")</f>
        <v>2023-10-15</v>
      </c>
      <c r="J797" t="s">
        <v>49</v>
      </c>
      <c r="K797">
        <v>4</v>
      </c>
      <c r="L797" s="3">
        <v>51862</v>
      </c>
      <c r="M797" t="s">
        <v>34</v>
      </c>
      <c r="N797" t="s">
        <v>56</v>
      </c>
      <c r="O797">
        <v>3</v>
      </c>
      <c r="P797" t="s">
        <v>57</v>
      </c>
      <c r="Q797" t="s">
        <v>36</v>
      </c>
      <c r="R797">
        <v>2023</v>
      </c>
      <c r="S797">
        <f>IF(AND(HR_Employees[[#This Row],[Attrition]]="YES",HR_Employees[[#This Row],[Exit_Date]]&lt;&gt;""),YEAR(HR_Employees[[#This Row],[Exit_Date]]),"")</f>
        <v>2023</v>
      </c>
    </row>
    <row r="798" spans="1:19">
      <c r="A798" t="s">
        <v>1243</v>
      </c>
      <c r="B798" t="s">
        <v>680</v>
      </c>
      <c r="C798">
        <v>28</v>
      </c>
      <c r="D798" t="s">
        <v>31</v>
      </c>
      <c r="E798" t="s">
        <v>21</v>
      </c>
      <c r="F798" t="s">
        <v>55</v>
      </c>
      <c r="G798" t="s">
        <v>33</v>
      </c>
      <c r="H798" s="2">
        <v>42473</v>
      </c>
      <c r="I798" s="2" t="str">
        <f>IFERROR(VLOOKUP(HR_Employees[[#This Row],[Employee_ID]],'[1]Synthetic Exit Data'!$A$2:$E$235,4,0)," NA")</f>
        <v xml:space="preserve"> NA</v>
      </c>
      <c r="J798" t="s">
        <v>24</v>
      </c>
      <c r="K798">
        <v>5</v>
      </c>
      <c r="L798" s="3">
        <v>163543</v>
      </c>
      <c r="M798" t="s">
        <v>25</v>
      </c>
      <c r="N798" t="s">
        <v>26</v>
      </c>
      <c r="O798">
        <v>10.5</v>
      </c>
      <c r="P798" t="s">
        <v>83</v>
      </c>
      <c r="Q798" t="s">
        <v>62</v>
      </c>
      <c r="R798">
        <v>2016</v>
      </c>
      <c r="S798" t="str">
        <f>IF(AND(HR_Employees[[#This Row],[Attrition]]="YES",HR_Employees[[#This Row],[Exit_Date]]&lt;&gt;""),YEAR(HR_Employees[[#This Row],[Exit_Date]]),"")</f>
        <v/>
      </c>
    </row>
    <row r="799" spans="1:19">
      <c r="A799" t="s">
        <v>1244</v>
      </c>
      <c r="B799" t="s">
        <v>666</v>
      </c>
      <c r="C799">
        <v>54</v>
      </c>
      <c r="D799" t="s">
        <v>20</v>
      </c>
      <c r="E799" t="s">
        <v>32</v>
      </c>
      <c r="F799" t="s">
        <v>47</v>
      </c>
      <c r="G799" t="s">
        <v>33</v>
      </c>
      <c r="H799" s="2">
        <v>44513</v>
      </c>
      <c r="I799" s="2" t="str">
        <f>IFERROR(VLOOKUP(HR_Employees[[#This Row],[Employee_ID]],'[1]Synthetic Exit Data'!$A$2:$E$235,4,0)," NA")</f>
        <v xml:space="preserve"> NA</v>
      </c>
      <c r="J799" t="s">
        <v>24</v>
      </c>
      <c r="K799">
        <v>4</v>
      </c>
      <c r="L799" s="3">
        <v>51855</v>
      </c>
      <c r="M799" t="s">
        <v>34</v>
      </c>
      <c r="N799" t="s">
        <v>50</v>
      </c>
      <c r="O799">
        <v>4.92</v>
      </c>
      <c r="P799" t="s">
        <v>51</v>
      </c>
      <c r="Q799" t="s">
        <v>28</v>
      </c>
      <c r="R799">
        <v>2021</v>
      </c>
      <c r="S799" t="str">
        <f>IF(AND(HR_Employees[[#This Row],[Attrition]]="YES",HR_Employees[[#This Row],[Exit_Date]]&lt;&gt;""),YEAR(HR_Employees[[#This Row],[Exit_Date]]),"")</f>
        <v/>
      </c>
    </row>
    <row r="800" spans="1:19">
      <c r="A800" t="s">
        <v>1245</v>
      </c>
      <c r="B800" t="s">
        <v>905</v>
      </c>
      <c r="C800">
        <v>47</v>
      </c>
      <c r="D800" t="s">
        <v>20</v>
      </c>
      <c r="E800" t="s">
        <v>21</v>
      </c>
      <c r="F800" t="s">
        <v>40</v>
      </c>
      <c r="G800" t="s">
        <v>33</v>
      </c>
      <c r="H800" s="2">
        <v>46004</v>
      </c>
      <c r="I800" s="2" t="str">
        <f>IFERROR(VLOOKUP(HR_Employees[[#This Row],[Employee_ID]],'[1]Synthetic Exit Data'!$A$2:$E$235,4,0)," NA")</f>
        <v xml:space="preserve"> NA</v>
      </c>
      <c r="J800" t="s">
        <v>24</v>
      </c>
      <c r="K800">
        <v>5</v>
      </c>
      <c r="L800" s="3">
        <v>71467</v>
      </c>
      <c r="M800" t="s">
        <v>34</v>
      </c>
      <c r="N800" t="s">
        <v>43</v>
      </c>
      <c r="O800">
        <v>0.83</v>
      </c>
      <c r="P800" t="s">
        <v>51</v>
      </c>
      <c r="Q800" t="s">
        <v>58</v>
      </c>
      <c r="R800">
        <v>2025</v>
      </c>
      <c r="S800" t="str">
        <f>IF(AND(HR_Employees[[#This Row],[Attrition]]="YES",HR_Employees[[#This Row],[Exit_Date]]&lt;&gt;""),YEAR(HR_Employees[[#This Row],[Exit_Date]]),"")</f>
        <v/>
      </c>
    </row>
    <row r="801" spans="1:19">
      <c r="A801" t="s">
        <v>1246</v>
      </c>
      <c r="B801" t="s">
        <v>684</v>
      </c>
      <c r="C801">
        <v>33</v>
      </c>
      <c r="D801" t="s">
        <v>31</v>
      </c>
      <c r="E801" t="s">
        <v>32</v>
      </c>
      <c r="F801" t="s">
        <v>22</v>
      </c>
      <c r="G801" t="s">
        <v>23</v>
      </c>
      <c r="H801" s="2">
        <v>44574</v>
      </c>
      <c r="I801" s="2" t="str">
        <f>IFERROR(VLOOKUP(HR_Employees[[#This Row],[Employee_ID]],'[1]Synthetic Exit Data'!$A$2:$E$235,4,0)," NA")</f>
        <v xml:space="preserve"> NA</v>
      </c>
      <c r="J801" t="s">
        <v>24</v>
      </c>
      <c r="K801">
        <v>3</v>
      </c>
      <c r="L801" s="3">
        <v>54167</v>
      </c>
      <c r="M801" t="s">
        <v>34</v>
      </c>
      <c r="N801" t="s">
        <v>50</v>
      </c>
      <c r="O801">
        <v>4.75</v>
      </c>
      <c r="P801" t="s">
        <v>27</v>
      </c>
      <c r="Q801" t="s">
        <v>58</v>
      </c>
      <c r="R801">
        <v>2022</v>
      </c>
      <c r="S801" t="str">
        <f>IF(AND(HR_Employees[[#This Row],[Attrition]]="YES",HR_Employees[[#This Row],[Exit_Date]]&lt;&gt;""),YEAR(HR_Employees[[#This Row],[Exit_Date]]),"")</f>
        <v/>
      </c>
    </row>
    <row r="802" spans="1:19">
      <c r="A802" t="s">
        <v>1247</v>
      </c>
      <c r="B802" t="s">
        <v>1225</v>
      </c>
      <c r="C802">
        <v>40</v>
      </c>
      <c r="D802" t="s">
        <v>61</v>
      </c>
      <c r="E802" t="s">
        <v>32</v>
      </c>
      <c r="F802" t="s">
        <v>40</v>
      </c>
      <c r="G802" t="s">
        <v>23</v>
      </c>
      <c r="H802" s="2">
        <v>44952</v>
      </c>
      <c r="I802" s="2" t="str">
        <f>IFERROR(VLOOKUP(HR_Employees[[#This Row],[Employee_ID]],'[1]Synthetic Exit Data'!$A$2:$E$235,4,0)," NA")</f>
        <v>2023-06-20</v>
      </c>
      <c r="J802" t="s">
        <v>49</v>
      </c>
      <c r="K802">
        <v>4</v>
      </c>
      <c r="L802" s="3">
        <v>28536</v>
      </c>
      <c r="M802" t="s">
        <v>82</v>
      </c>
      <c r="N802" t="s">
        <v>50</v>
      </c>
      <c r="O802">
        <v>3.58</v>
      </c>
      <c r="P802" t="s">
        <v>35</v>
      </c>
      <c r="Q802" t="s">
        <v>44</v>
      </c>
      <c r="R802">
        <v>2023</v>
      </c>
      <c r="S802">
        <f>IF(AND(HR_Employees[[#This Row],[Attrition]]="YES",HR_Employees[[#This Row],[Exit_Date]]&lt;&gt;""),YEAR(HR_Employees[[#This Row],[Exit_Date]]),"")</f>
        <v>2023</v>
      </c>
    </row>
    <row r="803" spans="1:19">
      <c r="A803" t="s">
        <v>1248</v>
      </c>
      <c r="B803" t="s">
        <v>269</v>
      </c>
      <c r="C803">
        <v>54</v>
      </c>
      <c r="D803" t="s">
        <v>20</v>
      </c>
      <c r="E803" t="s">
        <v>21</v>
      </c>
      <c r="F803" t="s">
        <v>47</v>
      </c>
      <c r="G803" t="s">
        <v>48</v>
      </c>
      <c r="H803" s="2">
        <v>42838</v>
      </c>
      <c r="I803" s="2" t="str">
        <f>IFERROR(VLOOKUP(HR_Employees[[#This Row],[Employee_ID]],'[1]Synthetic Exit Data'!$A$2:$E$235,4,0)," NA")</f>
        <v xml:space="preserve"> NA</v>
      </c>
      <c r="J803" t="s">
        <v>24</v>
      </c>
      <c r="K803">
        <v>5</v>
      </c>
      <c r="L803" s="3">
        <v>33619</v>
      </c>
      <c r="M803" t="s">
        <v>42</v>
      </c>
      <c r="N803" t="s">
        <v>79</v>
      </c>
      <c r="O803">
        <v>9.5</v>
      </c>
      <c r="P803" t="s">
        <v>35</v>
      </c>
      <c r="Q803" t="s">
        <v>44</v>
      </c>
      <c r="R803">
        <v>2017</v>
      </c>
      <c r="S803" t="str">
        <f>IF(AND(HR_Employees[[#This Row],[Attrition]]="YES",HR_Employees[[#This Row],[Exit_Date]]&lt;&gt;""),YEAR(HR_Employees[[#This Row],[Exit_Date]]),"")</f>
        <v/>
      </c>
    </row>
    <row r="804" spans="1:19">
      <c r="A804" t="s">
        <v>1249</v>
      </c>
      <c r="B804" t="s">
        <v>659</v>
      </c>
      <c r="C804">
        <v>41</v>
      </c>
      <c r="D804" t="s">
        <v>61</v>
      </c>
      <c r="E804" t="s">
        <v>32</v>
      </c>
      <c r="F804" t="s">
        <v>22</v>
      </c>
      <c r="G804" t="s">
        <v>23</v>
      </c>
      <c r="H804" s="2">
        <v>44482</v>
      </c>
      <c r="I804" s="2" t="str">
        <f>IFERROR(VLOOKUP(HR_Employees[[#This Row],[Employee_ID]],'[1]Synthetic Exit Data'!$A$2:$E$235,4,0)," NA")</f>
        <v xml:space="preserve"> NA</v>
      </c>
      <c r="J804" t="s">
        <v>24</v>
      </c>
      <c r="K804">
        <v>2</v>
      </c>
      <c r="L804" s="3">
        <v>126070</v>
      </c>
      <c r="M804" t="s">
        <v>25</v>
      </c>
      <c r="N804" t="s">
        <v>50</v>
      </c>
      <c r="O804">
        <v>5</v>
      </c>
      <c r="P804" t="s">
        <v>51</v>
      </c>
      <c r="Q804" t="s">
        <v>44</v>
      </c>
      <c r="R804">
        <v>2021</v>
      </c>
      <c r="S804" t="str">
        <f>IF(AND(HR_Employees[[#This Row],[Attrition]]="YES",HR_Employees[[#This Row],[Exit_Date]]&lt;&gt;""),YEAR(HR_Employees[[#This Row],[Exit_Date]]),"")</f>
        <v/>
      </c>
    </row>
    <row r="805" spans="1:19">
      <c r="A805" t="s">
        <v>1250</v>
      </c>
      <c r="B805" t="s">
        <v>161</v>
      </c>
      <c r="C805">
        <v>34</v>
      </c>
      <c r="D805" t="s">
        <v>31</v>
      </c>
      <c r="E805" t="s">
        <v>32</v>
      </c>
      <c r="F805" t="s">
        <v>47</v>
      </c>
      <c r="G805" t="s">
        <v>41</v>
      </c>
      <c r="H805" s="2">
        <v>45639</v>
      </c>
      <c r="I805" s="2" t="str">
        <f>IFERROR(VLOOKUP(HR_Employees[[#This Row],[Employee_ID]],'[1]Synthetic Exit Data'!$A$2:$E$235,4,0)," NA")</f>
        <v xml:space="preserve"> NA</v>
      </c>
      <c r="J805" t="s">
        <v>24</v>
      </c>
      <c r="K805">
        <v>3</v>
      </c>
      <c r="L805" s="3">
        <v>91378</v>
      </c>
      <c r="M805" t="s">
        <v>66</v>
      </c>
      <c r="N805" t="s">
        <v>56</v>
      </c>
      <c r="O805">
        <v>1.83</v>
      </c>
      <c r="P805" t="s">
        <v>35</v>
      </c>
      <c r="Q805" t="s">
        <v>76</v>
      </c>
      <c r="R805">
        <v>2024</v>
      </c>
      <c r="S805" t="str">
        <f>IF(AND(HR_Employees[[#This Row],[Attrition]]="YES",HR_Employees[[#This Row],[Exit_Date]]&lt;&gt;""),YEAR(HR_Employees[[#This Row],[Exit_Date]]),"")</f>
        <v/>
      </c>
    </row>
    <row r="806" spans="1:19">
      <c r="A806" t="s">
        <v>1251</v>
      </c>
      <c r="B806" t="s">
        <v>1252</v>
      </c>
      <c r="C806">
        <v>36</v>
      </c>
      <c r="D806" t="s">
        <v>61</v>
      </c>
      <c r="E806" t="s">
        <v>21</v>
      </c>
      <c r="F806" t="s">
        <v>40</v>
      </c>
      <c r="G806" t="s">
        <v>23</v>
      </c>
      <c r="H806" s="2">
        <v>41728</v>
      </c>
      <c r="I806" s="2" t="str">
        <f>IFERROR(VLOOKUP(HR_Employees[[#This Row],[Employee_ID]],'[1]Synthetic Exit Data'!$A$2:$E$235,4,0)," NA")</f>
        <v>2019-03-03</v>
      </c>
      <c r="J806" t="s">
        <v>49</v>
      </c>
      <c r="K806">
        <v>3</v>
      </c>
      <c r="L806" s="3">
        <v>98425</v>
      </c>
      <c r="M806" t="s">
        <v>66</v>
      </c>
      <c r="N806" t="s">
        <v>26</v>
      </c>
      <c r="O806">
        <v>12.42</v>
      </c>
      <c r="P806" t="s">
        <v>27</v>
      </c>
      <c r="Q806" t="s">
        <v>58</v>
      </c>
      <c r="R806">
        <v>2014</v>
      </c>
      <c r="S806">
        <f>IF(AND(HR_Employees[[#This Row],[Attrition]]="YES",HR_Employees[[#This Row],[Exit_Date]]&lt;&gt;""),YEAR(HR_Employees[[#This Row],[Exit_Date]]),"")</f>
        <v>2019</v>
      </c>
    </row>
    <row r="807" spans="1:19">
      <c r="A807" t="s">
        <v>1253</v>
      </c>
      <c r="B807" t="s">
        <v>678</v>
      </c>
      <c r="C807">
        <v>43</v>
      </c>
      <c r="D807" t="s">
        <v>61</v>
      </c>
      <c r="E807" t="s">
        <v>21</v>
      </c>
      <c r="F807" t="s">
        <v>22</v>
      </c>
      <c r="G807" t="s">
        <v>33</v>
      </c>
      <c r="H807" s="2">
        <v>46066</v>
      </c>
      <c r="I807" s="2" t="str">
        <f>IFERROR(VLOOKUP(HR_Employees[[#This Row],[Employee_ID]],'[1]Synthetic Exit Data'!$A$2:$E$235,4,0)," NA")</f>
        <v xml:space="preserve"> NA</v>
      </c>
      <c r="J807" t="s">
        <v>24</v>
      </c>
      <c r="K807">
        <v>5</v>
      </c>
      <c r="L807" s="3">
        <v>49904</v>
      </c>
      <c r="M807" t="s">
        <v>42</v>
      </c>
      <c r="N807" t="s">
        <v>43</v>
      </c>
      <c r="O807">
        <v>0.67</v>
      </c>
      <c r="P807" t="s">
        <v>27</v>
      </c>
      <c r="Q807" t="s">
        <v>44</v>
      </c>
      <c r="R807">
        <v>2026</v>
      </c>
      <c r="S807" t="str">
        <f>IF(AND(HR_Employees[[#This Row],[Attrition]]="YES",HR_Employees[[#This Row],[Exit_Date]]&lt;&gt;""),YEAR(HR_Employees[[#This Row],[Exit_Date]]),"")</f>
        <v/>
      </c>
    </row>
    <row r="808" spans="1:19">
      <c r="A808" t="s">
        <v>1254</v>
      </c>
      <c r="B808" t="s">
        <v>1029</v>
      </c>
      <c r="C808">
        <v>21</v>
      </c>
      <c r="D808" t="s">
        <v>39</v>
      </c>
      <c r="E808" t="s">
        <v>32</v>
      </c>
      <c r="F808" t="s">
        <v>47</v>
      </c>
      <c r="G808" t="s">
        <v>23</v>
      </c>
      <c r="H808" s="2">
        <v>44638</v>
      </c>
      <c r="I808" s="2" t="str">
        <f>IFERROR(VLOOKUP(HR_Employees[[#This Row],[Employee_ID]],'[1]Synthetic Exit Data'!$A$2:$E$235,4,0)," NA")</f>
        <v>2022-09-03</v>
      </c>
      <c r="J808" t="s">
        <v>49</v>
      </c>
      <c r="K808">
        <v>4</v>
      </c>
      <c r="L808" s="3">
        <v>99683</v>
      </c>
      <c r="M808" t="s">
        <v>66</v>
      </c>
      <c r="N808" t="s">
        <v>50</v>
      </c>
      <c r="O808">
        <v>4.42</v>
      </c>
      <c r="P808" t="s">
        <v>35</v>
      </c>
      <c r="Q808" t="s">
        <v>28</v>
      </c>
      <c r="R808">
        <v>2022</v>
      </c>
      <c r="S808">
        <f>IF(AND(HR_Employees[[#This Row],[Attrition]]="YES",HR_Employees[[#This Row],[Exit_Date]]&lt;&gt;""),YEAR(HR_Employees[[#This Row],[Exit_Date]]),"")</f>
        <v>2022</v>
      </c>
    </row>
    <row r="809" spans="1:19">
      <c r="A809" t="s">
        <v>1255</v>
      </c>
      <c r="B809" t="s">
        <v>543</v>
      </c>
      <c r="C809">
        <v>23</v>
      </c>
      <c r="D809" t="s">
        <v>39</v>
      </c>
      <c r="E809" t="s">
        <v>21</v>
      </c>
      <c r="F809" t="s">
        <v>109</v>
      </c>
      <c r="G809" t="s">
        <v>33</v>
      </c>
      <c r="H809" s="2">
        <v>46216</v>
      </c>
      <c r="I809" s="2" t="str">
        <f>IFERROR(VLOOKUP(HR_Employees[[#This Row],[Employee_ID]],'[1]Synthetic Exit Data'!$A$2:$E$235,4,0)," NA")</f>
        <v xml:space="preserve"> NA</v>
      </c>
      <c r="J809" t="s">
        <v>24</v>
      </c>
      <c r="K809">
        <v>5</v>
      </c>
      <c r="L809" s="3">
        <v>32651</v>
      </c>
      <c r="M809" t="s">
        <v>42</v>
      </c>
      <c r="N809" t="s">
        <v>43</v>
      </c>
      <c r="O809">
        <v>0.25</v>
      </c>
      <c r="P809" t="s">
        <v>83</v>
      </c>
      <c r="Q809" t="s">
        <v>76</v>
      </c>
      <c r="R809">
        <v>2026</v>
      </c>
      <c r="S809" t="str">
        <f>IF(AND(HR_Employees[[#This Row],[Attrition]]="YES",HR_Employees[[#This Row],[Exit_Date]]&lt;&gt;""),YEAR(HR_Employees[[#This Row],[Exit_Date]]),"")</f>
        <v/>
      </c>
    </row>
    <row r="810" spans="1:19">
      <c r="A810" t="s">
        <v>1256</v>
      </c>
      <c r="B810" t="s">
        <v>192</v>
      </c>
      <c r="C810">
        <v>26</v>
      </c>
      <c r="D810" t="s">
        <v>31</v>
      </c>
      <c r="E810" t="s">
        <v>21</v>
      </c>
      <c r="F810" t="s">
        <v>73</v>
      </c>
      <c r="G810" t="s">
        <v>41</v>
      </c>
      <c r="H810" s="2">
        <v>45395</v>
      </c>
      <c r="I810" s="2" t="str">
        <f>IFERROR(VLOOKUP(HR_Employees[[#This Row],[Employee_ID]],'[1]Synthetic Exit Data'!$A$2:$E$235,4,0)," NA")</f>
        <v xml:space="preserve"> NA</v>
      </c>
      <c r="J810" t="s">
        <v>24</v>
      </c>
      <c r="K810">
        <v>2</v>
      </c>
      <c r="L810" s="3">
        <v>30880</v>
      </c>
      <c r="M810" t="s">
        <v>42</v>
      </c>
      <c r="N810" t="s">
        <v>56</v>
      </c>
      <c r="O810">
        <v>2.5</v>
      </c>
      <c r="P810" t="s">
        <v>125</v>
      </c>
      <c r="Q810" t="s">
        <v>28</v>
      </c>
      <c r="R810">
        <v>2024</v>
      </c>
      <c r="S810" t="str">
        <f>IF(AND(HR_Employees[[#This Row],[Attrition]]="YES",HR_Employees[[#This Row],[Exit_Date]]&lt;&gt;""),YEAR(HR_Employees[[#This Row],[Exit_Date]]),"")</f>
        <v/>
      </c>
    </row>
    <row r="811" spans="1:19">
      <c r="A811" t="s">
        <v>1257</v>
      </c>
      <c r="B811" t="s">
        <v>1258</v>
      </c>
      <c r="C811">
        <v>44</v>
      </c>
      <c r="D811" t="s">
        <v>61</v>
      </c>
      <c r="E811" t="s">
        <v>32</v>
      </c>
      <c r="F811" t="s">
        <v>47</v>
      </c>
      <c r="G811" t="s">
        <v>33</v>
      </c>
      <c r="H811" s="2">
        <v>40525</v>
      </c>
      <c r="I811" s="2" t="str">
        <f>IFERROR(VLOOKUP(HR_Employees[[#This Row],[Employee_ID]],'[1]Synthetic Exit Data'!$A$2:$E$235,4,0)," NA")</f>
        <v xml:space="preserve"> NA</v>
      </c>
      <c r="J811" t="s">
        <v>24</v>
      </c>
      <c r="K811">
        <v>2</v>
      </c>
      <c r="L811" s="3">
        <v>45062</v>
      </c>
      <c r="M811" t="s">
        <v>42</v>
      </c>
      <c r="N811" t="s">
        <v>26</v>
      </c>
      <c r="O811">
        <v>15.83</v>
      </c>
      <c r="P811" t="s">
        <v>125</v>
      </c>
      <c r="Q811" t="s">
        <v>28</v>
      </c>
      <c r="R811">
        <v>2010</v>
      </c>
      <c r="S811" t="str">
        <f>IF(AND(HR_Employees[[#This Row],[Attrition]]="YES",HR_Employees[[#This Row],[Exit_Date]]&lt;&gt;""),YEAR(HR_Employees[[#This Row],[Exit_Date]]),"")</f>
        <v/>
      </c>
    </row>
    <row r="812" spans="1:19">
      <c r="A812" t="s">
        <v>1259</v>
      </c>
      <c r="B812" t="s">
        <v>1260</v>
      </c>
      <c r="C812">
        <v>24</v>
      </c>
      <c r="D812" t="s">
        <v>39</v>
      </c>
      <c r="E812" t="s">
        <v>21</v>
      </c>
      <c r="F812" t="s">
        <v>73</v>
      </c>
      <c r="G812" t="s">
        <v>33</v>
      </c>
      <c r="H812" s="2">
        <v>46247</v>
      </c>
      <c r="I812" s="2" t="str">
        <f>IFERROR(VLOOKUP(HR_Employees[[#This Row],[Employee_ID]],'[1]Synthetic Exit Data'!$A$2:$E$235,4,0)," NA")</f>
        <v xml:space="preserve"> NA</v>
      </c>
      <c r="J812" t="s">
        <v>24</v>
      </c>
      <c r="K812">
        <v>4</v>
      </c>
      <c r="L812" s="3">
        <v>109861</v>
      </c>
      <c r="M812" t="s">
        <v>25</v>
      </c>
      <c r="N812" t="s">
        <v>43</v>
      </c>
      <c r="O812">
        <v>0.17</v>
      </c>
      <c r="P812" t="s">
        <v>35</v>
      </c>
      <c r="Q812" t="s">
        <v>62</v>
      </c>
      <c r="R812">
        <v>2026</v>
      </c>
      <c r="S812" t="str">
        <f>IF(AND(HR_Employees[[#This Row],[Attrition]]="YES",HR_Employees[[#This Row],[Exit_Date]]&lt;&gt;""),YEAR(HR_Employees[[#This Row],[Exit_Date]]),"")</f>
        <v/>
      </c>
    </row>
    <row r="813" spans="1:19">
      <c r="A813" t="s">
        <v>1261</v>
      </c>
      <c r="B813" t="s">
        <v>425</v>
      </c>
      <c r="C813">
        <v>35</v>
      </c>
      <c r="D813" t="s">
        <v>31</v>
      </c>
      <c r="E813" t="s">
        <v>32</v>
      </c>
      <c r="F813" t="s">
        <v>22</v>
      </c>
      <c r="G813" t="s">
        <v>41</v>
      </c>
      <c r="H813" s="2">
        <v>44998</v>
      </c>
      <c r="I813" s="2" t="str">
        <f>IFERROR(VLOOKUP(HR_Employees[[#This Row],[Employee_ID]],'[1]Synthetic Exit Data'!$A$2:$E$235,4,0)," NA")</f>
        <v xml:space="preserve"> NA</v>
      </c>
      <c r="J813" t="s">
        <v>24</v>
      </c>
      <c r="K813">
        <v>4</v>
      </c>
      <c r="L813" s="3">
        <v>69418</v>
      </c>
      <c r="M813" t="s">
        <v>34</v>
      </c>
      <c r="N813" t="s">
        <v>50</v>
      </c>
      <c r="O813">
        <v>3.58</v>
      </c>
      <c r="P813" t="s">
        <v>125</v>
      </c>
      <c r="Q813" t="s">
        <v>36</v>
      </c>
      <c r="R813">
        <v>2023</v>
      </c>
      <c r="S813" t="str">
        <f>IF(AND(HR_Employees[[#This Row],[Attrition]]="YES",HR_Employees[[#This Row],[Exit_Date]]&lt;&gt;""),YEAR(HR_Employees[[#This Row],[Exit_Date]]),"")</f>
        <v/>
      </c>
    </row>
    <row r="814" spans="1:19">
      <c r="A814" t="s">
        <v>1262</v>
      </c>
      <c r="B814" t="s">
        <v>81</v>
      </c>
      <c r="C814">
        <v>35</v>
      </c>
      <c r="D814" t="s">
        <v>31</v>
      </c>
      <c r="E814" t="s">
        <v>21</v>
      </c>
      <c r="F814" t="s">
        <v>109</v>
      </c>
      <c r="G814" t="s">
        <v>23</v>
      </c>
      <c r="H814" s="2">
        <v>45182</v>
      </c>
      <c r="I814" s="2" t="str">
        <f>IFERROR(VLOOKUP(HR_Employees[[#This Row],[Employee_ID]],'[1]Synthetic Exit Data'!$A$2:$E$235,4,0)," NA")</f>
        <v xml:space="preserve"> NA</v>
      </c>
      <c r="J814" t="s">
        <v>24</v>
      </c>
      <c r="K814">
        <v>3</v>
      </c>
      <c r="L814" s="3">
        <v>69337</v>
      </c>
      <c r="M814" t="s">
        <v>34</v>
      </c>
      <c r="N814" t="s">
        <v>50</v>
      </c>
      <c r="O814">
        <v>3.08</v>
      </c>
      <c r="P814" t="s">
        <v>125</v>
      </c>
      <c r="Q814" t="s">
        <v>28</v>
      </c>
      <c r="R814">
        <v>2023</v>
      </c>
      <c r="S814" t="str">
        <f>IF(AND(HR_Employees[[#This Row],[Attrition]]="YES",HR_Employees[[#This Row],[Exit_Date]]&lt;&gt;""),YEAR(HR_Employees[[#This Row],[Exit_Date]]),"")</f>
        <v/>
      </c>
    </row>
    <row r="815" spans="1:19">
      <c r="A815" t="s">
        <v>1263</v>
      </c>
      <c r="B815" t="s">
        <v>1264</v>
      </c>
      <c r="C815">
        <v>22</v>
      </c>
      <c r="D815" t="s">
        <v>39</v>
      </c>
      <c r="E815" t="s">
        <v>21</v>
      </c>
      <c r="F815" t="s">
        <v>73</v>
      </c>
      <c r="G815" t="s">
        <v>33</v>
      </c>
      <c r="H815" s="2">
        <v>40556</v>
      </c>
      <c r="I815" s="2" t="str">
        <f>IFERROR(VLOOKUP(HR_Employees[[#This Row],[Employee_ID]],'[1]Synthetic Exit Data'!$A$2:$E$235,4,0)," NA")</f>
        <v xml:space="preserve"> NA</v>
      </c>
      <c r="J815" t="s">
        <v>24</v>
      </c>
      <c r="K815">
        <v>3</v>
      </c>
      <c r="L815" s="3">
        <v>45351</v>
      </c>
      <c r="M815" t="s">
        <v>42</v>
      </c>
      <c r="N815" t="s">
        <v>26</v>
      </c>
      <c r="O815">
        <v>15.75</v>
      </c>
      <c r="P815" t="s">
        <v>27</v>
      </c>
      <c r="Q815" t="s">
        <v>92</v>
      </c>
      <c r="R815">
        <v>2011</v>
      </c>
      <c r="S815" t="str">
        <f>IF(AND(HR_Employees[[#This Row],[Attrition]]="YES",HR_Employees[[#This Row],[Exit_Date]]&lt;&gt;""),YEAR(HR_Employees[[#This Row],[Exit_Date]]),"")</f>
        <v/>
      </c>
    </row>
    <row r="816" spans="1:19">
      <c r="A816" t="s">
        <v>1265</v>
      </c>
      <c r="B816" t="s">
        <v>1260</v>
      </c>
      <c r="C816">
        <v>26</v>
      </c>
      <c r="D816" t="s">
        <v>31</v>
      </c>
      <c r="E816" t="s">
        <v>21</v>
      </c>
      <c r="F816" t="s">
        <v>47</v>
      </c>
      <c r="G816" t="s">
        <v>48</v>
      </c>
      <c r="H816" s="2">
        <v>44329</v>
      </c>
      <c r="I816" s="2" t="str">
        <f>IFERROR(VLOOKUP(HR_Employees[[#This Row],[Employee_ID]],'[1]Synthetic Exit Data'!$A$2:$E$235,4,0)," NA")</f>
        <v xml:space="preserve"> NA</v>
      </c>
      <c r="J816" t="s">
        <v>24</v>
      </c>
      <c r="K816">
        <v>4</v>
      </c>
      <c r="L816" s="3">
        <v>111819</v>
      </c>
      <c r="M816" t="s">
        <v>25</v>
      </c>
      <c r="N816" t="s">
        <v>79</v>
      </c>
      <c r="O816">
        <v>5.42</v>
      </c>
      <c r="P816" t="s">
        <v>57</v>
      </c>
      <c r="Q816" t="s">
        <v>86</v>
      </c>
      <c r="R816">
        <v>2021</v>
      </c>
      <c r="S816" t="str">
        <f>IF(AND(HR_Employees[[#This Row],[Attrition]]="YES",HR_Employees[[#This Row],[Exit_Date]]&lt;&gt;""),YEAR(HR_Employees[[#This Row],[Exit_Date]]),"")</f>
        <v/>
      </c>
    </row>
    <row r="817" spans="1:19">
      <c r="A817" t="s">
        <v>1266</v>
      </c>
      <c r="B817" t="s">
        <v>1133</v>
      </c>
      <c r="C817">
        <v>37</v>
      </c>
      <c r="D817" t="s">
        <v>61</v>
      </c>
      <c r="E817" t="s">
        <v>32</v>
      </c>
      <c r="F817" t="s">
        <v>40</v>
      </c>
      <c r="G817" t="s">
        <v>23</v>
      </c>
      <c r="H817" s="2">
        <v>45913</v>
      </c>
      <c r="I817" s="2" t="str">
        <f>IFERROR(VLOOKUP(HR_Employees[[#This Row],[Employee_ID]],'[1]Synthetic Exit Data'!$A$2:$E$235,4,0)," NA")</f>
        <v xml:space="preserve"> NA</v>
      </c>
      <c r="J817" t="s">
        <v>24</v>
      </c>
      <c r="K817">
        <v>3</v>
      </c>
      <c r="L817" s="3">
        <v>40778</v>
      </c>
      <c r="M817" t="s">
        <v>42</v>
      </c>
      <c r="N817" t="s">
        <v>56</v>
      </c>
      <c r="O817">
        <v>1.08</v>
      </c>
      <c r="P817" t="s">
        <v>51</v>
      </c>
      <c r="Q817" t="s">
        <v>86</v>
      </c>
      <c r="R817">
        <v>2025</v>
      </c>
      <c r="S817" t="str">
        <f>IF(AND(HR_Employees[[#This Row],[Attrition]]="YES",HR_Employees[[#This Row],[Exit_Date]]&lt;&gt;""),YEAR(HR_Employees[[#This Row],[Exit_Date]]),"")</f>
        <v/>
      </c>
    </row>
    <row r="818" spans="1:19">
      <c r="A818" t="s">
        <v>1267</v>
      </c>
      <c r="B818" t="s">
        <v>138</v>
      </c>
      <c r="C818">
        <v>42</v>
      </c>
      <c r="D818" t="s">
        <v>61</v>
      </c>
      <c r="E818" t="s">
        <v>21</v>
      </c>
      <c r="F818" t="s">
        <v>109</v>
      </c>
      <c r="G818" t="s">
        <v>23</v>
      </c>
      <c r="H818" s="2">
        <v>45821</v>
      </c>
      <c r="I818" s="2" t="str">
        <f>IFERROR(VLOOKUP(HR_Employees[[#This Row],[Employee_ID]],'[1]Synthetic Exit Data'!$A$2:$E$235,4,0)," NA")</f>
        <v xml:space="preserve"> NA</v>
      </c>
      <c r="J818" t="s">
        <v>24</v>
      </c>
      <c r="K818">
        <v>4</v>
      </c>
      <c r="L818" s="3">
        <v>66981</v>
      </c>
      <c r="M818" t="s">
        <v>34</v>
      </c>
      <c r="N818" t="s">
        <v>56</v>
      </c>
      <c r="O818">
        <v>1.33</v>
      </c>
      <c r="P818" t="s">
        <v>57</v>
      </c>
      <c r="Q818" t="s">
        <v>62</v>
      </c>
      <c r="R818">
        <v>2025</v>
      </c>
      <c r="S818" t="str">
        <f>IF(AND(HR_Employees[[#This Row],[Attrition]]="YES",HR_Employees[[#This Row],[Exit_Date]]&lt;&gt;""),YEAR(HR_Employees[[#This Row],[Exit_Date]]),"")</f>
        <v/>
      </c>
    </row>
    <row r="819" spans="1:19">
      <c r="A819" t="s">
        <v>1268</v>
      </c>
      <c r="B819" t="s">
        <v>974</v>
      </c>
      <c r="C819">
        <v>29</v>
      </c>
      <c r="D819" t="s">
        <v>31</v>
      </c>
      <c r="E819" t="s">
        <v>32</v>
      </c>
      <c r="F819" t="s">
        <v>40</v>
      </c>
      <c r="G819" t="s">
        <v>23</v>
      </c>
      <c r="H819" s="2">
        <v>44543</v>
      </c>
      <c r="I819" s="2" t="str">
        <f>IFERROR(VLOOKUP(HR_Employees[[#This Row],[Employee_ID]],'[1]Synthetic Exit Data'!$A$2:$E$235,4,0)," NA")</f>
        <v xml:space="preserve"> NA</v>
      </c>
      <c r="J819" t="s">
        <v>24</v>
      </c>
      <c r="K819">
        <v>4</v>
      </c>
      <c r="L819" s="3">
        <v>38191</v>
      </c>
      <c r="M819" t="s">
        <v>42</v>
      </c>
      <c r="N819" t="s">
        <v>50</v>
      </c>
      <c r="O819">
        <v>4.83</v>
      </c>
      <c r="P819" t="s">
        <v>27</v>
      </c>
      <c r="Q819" t="s">
        <v>92</v>
      </c>
      <c r="R819">
        <v>2021</v>
      </c>
      <c r="S819" t="str">
        <f>IF(AND(HR_Employees[[#This Row],[Attrition]]="YES",HR_Employees[[#This Row],[Exit_Date]]&lt;&gt;""),YEAR(HR_Employees[[#This Row],[Exit_Date]]),"")</f>
        <v/>
      </c>
    </row>
    <row r="820" spans="1:19">
      <c r="A820" t="s">
        <v>1269</v>
      </c>
      <c r="B820" t="s">
        <v>106</v>
      </c>
      <c r="C820">
        <v>34</v>
      </c>
      <c r="D820" t="s">
        <v>31</v>
      </c>
      <c r="E820" t="s">
        <v>21</v>
      </c>
      <c r="F820" t="s">
        <v>47</v>
      </c>
      <c r="G820" t="s">
        <v>33</v>
      </c>
      <c r="H820" s="2">
        <v>45609</v>
      </c>
      <c r="I820" s="2" t="str">
        <f>IFERROR(VLOOKUP(HR_Employees[[#This Row],[Employee_ID]],'[1]Synthetic Exit Data'!$A$2:$E$235,4,0)," NA")</f>
        <v xml:space="preserve"> NA</v>
      </c>
      <c r="J820" t="s">
        <v>24</v>
      </c>
      <c r="K820">
        <v>4</v>
      </c>
      <c r="L820" s="3">
        <v>61461</v>
      </c>
      <c r="M820" t="s">
        <v>34</v>
      </c>
      <c r="N820" t="s">
        <v>56</v>
      </c>
      <c r="O820">
        <v>1.92</v>
      </c>
      <c r="P820" t="s">
        <v>51</v>
      </c>
      <c r="Q820" t="s">
        <v>92</v>
      </c>
      <c r="R820">
        <v>2024</v>
      </c>
      <c r="S820" t="str">
        <f>IF(AND(HR_Employees[[#This Row],[Attrition]]="YES",HR_Employees[[#This Row],[Exit_Date]]&lt;&gt;""),YEAR(HR_Employees[[#This Row],[Exit_Date]]),"")</f>
        <v/>
      </c>
    </row>
    <row r="821" spans="1:19">
      <c r="A821" t="s">
        <v>1270</v>
      </c>
      <c r="B821" t="s">
        <v>1070</v>
      </c>
      <c r="C821">
        <v>29</v>
      </c>
      <c r="D821" t="s">
        <v>31</v>
      </c>
      <c r="E821" t="s">
        <v>21</v>
      </c>
      <c r="F821" t="s">
        <v>55</v>
      </c>
      <c r="G821" t="s">
        <v>33</v>
      </c>
      <c r="H821" s="2">
        <v>45851</v>
      </c>
      <c r="I821" s="2" t="str">
        <f>IFERROR(VLOOKUP(HR_Employees[[#This Row],[Employee_ID]],'[1]Synthetic Exit Data'!$A$2:$E$235,4,0)," NA")</f>
        <v xml:space="preserve"> NA</v>
      </c>
      <c r="J821" t="s">
        <v>24</v>
      </c>
      <c r="K821">
        <v>5</v>
      </c>
      <c r="L821" s="3">
        <v>122546</v>
      </c>
      <c r="M821" t="s">
        <v>25</v>
      </c>
      <c r="N821" t="s">
        <v>56</v>
      </c>
      <c r="O821">
        <v>1.25</v>
      </c>
      <c r="P821" t="s">
        <v>51</v>
      </c>
      <c r="Q821" t="s">
        <v>86</v>
      </c>
      <c r="R821">
        <v>2025</v>
      </c>
      <c r="S821" t="str">
        <f>IF(AND(HR_Employees[[#This Row],[Attrition]]="YES",HR_Employees[[#This Row],[Exit_Date]]&lt;&gt;""),YEAR(HR_Employees[[#This Row],[Exit_Date]]),"")</f>
        <v/>
      </c>
    </row>
    <row r="822" spans="1:19">
      <c r="A822" t="s">
        <v>1271</v>
      </c>
      <c r="B822" t="s">
        <v>216</v>
      </c>
      <c r="C822">
        <v>30</v>
      </c>
      <c r="D822" t="s">
        <v>31</v>
      </c>
      <c r="E822" t="s">
        <v>32</v>
      </c>
      <c r="F822" t="s">
        <v>55</v>
      </c>
      <c r="G822" t="s">
        <v>33</v>
      </c>
      <c r="H822" s="2">
        <v>44633</v>
      </c>
      <c r="I822" s="2" t="str">
        <f>IFERROR(VLOOKUP(HR_Employees[[#This Row],[Employee_ID]],'[1]Synthetic Exit Data'!$A$2:$E$235,4,0)," NA")</f>
        <v xml:space="preserve"> NA</v>
      </c>
      <c r="J822" t="s">
        <v>24</v>
      </c>
      <c r="K822">
        <v>5</v>
      </c>
      <c r="L822" s="3">
        <v>51479</v>
      </c>
      <c r="M822" t="s">
        <v>34</v>
      </c>
      <c r="N822" t="s">
        <v>50</v>
      </c>
      <c r="O822">
        <v>4.58</v>
      </c>
      <c r="P822" t="s">
        <v>27</v>
      </c>
      <c r="Q822" t="s">
        <v>36</v>
      </c>
      <c r="R822">
        <v>2022</v>
      </c>
      <c r="S822" t="str">
        <f>IF(AND(HR_Employees[[#This Row],[Attrition]]="YES",HR_Employees[[#This Row],[Exit_Date]]&lt;&gt;""),YEAR(HR_Employees[[#This Row],[Exit_Date]]),"")</f>
        <v/>
      </c>
    </row>
    <row r="823" spans="1:19">
      <c r="A823" t="s">
        <v>1272</v>
      </c>
      <c r="B823" t="s">
        <v>1273</v>
      </c>
      <c r="C823">
        <v>25</v>
      </c>
      <c r="D823" t="s">
        <v>39</v>
      </c>
      <c r="E823" t="s">
        <v>32</v>
      </c>
      <c r="F823" t="s">
        <v>47</v>
      </c>
      <c r="G823" t="s">
        <v>33</v>
      </c>
      <c r="H823" s="2">
        <v>40520</v>
      </c>
      <c r="I823" s="2" t="str">
        <f>IFERROR(VLOOKUP(HR_Employees[[#This Row],[Employee_ID]],'[1]Synthetic Exit Data'!$A$2:$E$235,4,0)," NA")</f>
        <v>2016-05-21</v>
      </c>
      <c r="J823" t="s">
        <v>49</v>
      </c>
      <c r="K823">
        <v>3</v>
      </c>
      <c r="L823" s="3">
        <v>39665</v>
      </c>
      <c r="M823" t="s">
        <v>42</v>
      </c>
      <c r="N823" t="s">
        <v>26</v>
      </c>
      <c r="O823">
        <v>15.75</v>
      </c>
      <c r="P823" t="s">
        <v>27</v>
      </c>
      <c r="Q823" t="s">
        <v>58</v>
      </c>
      <c r="R823">
        <v>2010</v>
      </c>
      <c r="S823">
        <f>IF(AND(HR_Employees[[#This Row],[Attrition]]="YES",HR_Employees[[#This Row],[Exit_Date]]&lt;&gt;""),YEAR(HR_Employees[[#This Row],[Exit_Date]]),"")</f>
        <v>2016</v>
      </c>
    </row>
    <row r="824" spans="1:19">
      <c r="A824" t="s">
        <v>1274</v>
      </c>
      <c r="B824" t="s">
        <v>668</v>
      </c>
      <c r="C824">
        <v>44</v>
      </c>
      <c r="D824" t="s">
        <v>61</v>
      </c>
      <c r="E824" t="s">
        <v>32</v>
      </c>
      <c r="F824" t="s">
        <v>47</v>
      </c>
      <c r="G824" t="s">
        <v>23</v>
      </c>
      <c r="H824" s="2">
        <v>41591</v>
      </c>
      <c r="I824" s="2" t="str">
        <f>IFERROR(VLOOKUP(HR_Employees[[#This Row],[Employee_ID]],'[1]Synthetic Exit Data'!$A$2:$E$235,4,0)," NA")</f>
        <v xml:space="preserve"> NA</v>
      </c>
      <c r="J824" t="s">
        <v>24</v>
      </c>
      <c r="K824">
        <v>3</v>
      </c>
      <c r="L824" s="3">
        <v>64935</v>
      </c>
      <c r="M824" t="s">
        <v>34</v>
      </c>
      <c r="N824" t="s">
        <v>26</v>
      </c>
      <c r="O824">
        <v>12.92</v>
      </c>
      <c r="P824" t="s">
        <v>35</v>
      </c>
      <c r="Q824" t="s">
        <v>76</v>
      </c>
      <c r="R824">
        <v>2013</v>
      </c>
      <c r="S824" t="str">
        <f>IF(AND(HR_Employees[[#This Row],[Attrition]]="YES",HR_Employees[[#This Row],[Exit_Date]]&lt;&gt;""),YEAR(HR_Employees[[#This Row],[Exit_Date]]),"")</f>
        <v/>
      </c>
    </row>
    <row r="825" spans="1:19">
      <c r="A825" t="s">
        <v>1275</v>
      </c>
      <c r="B825" t="s">
        <v>690</v>
      </c>
      <c r="C825">
        <v>38</v>
      </c>
      <c r="D825" t="s">
        <v>61</v>
      </c>
      <c r="E825" t="s">
        <v>21</v>
      </c>
      <c r="F825" t="s">
        <v>40</v>
      </c>
      <c r="G825" t="s">
        <v>41</v>
      </c>
      <c r="H825" s="2">
        <v>41518</v>
      </c>
      <c r="I825" s="2" t="str">
        <f>IFERROR(VLOOKUP(HR_Employees[[#This Row],[Employee_ID]],'[1]Synthetic Exit Data'!$A$2:$E$235,4,0)," NA")</f>
        <v>2018-12-25</v>
      </c>
      <c r="J825" t="s">
        <v>49</v>
      </c>
      <c r="K825">
        <v>4</v>
      </c>
      <c r="L825" s="3">
        <v>73354</v>
      </c>
      <c r="M825" t="s">
        <v>34</v>
      </c>
      <c r="N825" t="s">
        <v>26</v>
      </c>
      <c r="O825">
        <v>13</v>
      </c>
      <c r="P825" t="s">
        <v>35</v>
      </c>
      <c r="Q825" t="s">
        <v>76</v>
      </c>
      <c r="R825">
        <v>2013</v>
      </c>
      <c r="S825">
        <f>IF(AND(HR_Employees[[#This Row],[Attrition]]="YES",HR_Employees[[#This Row],[Exit_Date]]&lt;&gt;""),YEAR(HR_Employees[[#This Row],[Exit_Date]]),"")</f>
        <v>2018</v>
      </c>
    </row>
    <row r="826" spans="1:19">
      <c r="A826" t="s">
        <v>1276</v>
      </c>
      <c r="B826" t="s">
        <v>646</v>
      </c>
      <c r="C826">
        <v>44</v>
      </c>
      <c r="D826" t="s">
        <v>61</v>
      </c>
      <c r="E826" t="s">
        <v>21</v>
      </c>
      <c r="F826" t="s">
        <v>109</v>
      </c>
      <c r="G826" t="s">
        <v>23</v>
      </c>
      <c r="H826" s="2">
        <v>42412</v>
      </c>
      <c r="I826" s="2" t="str">
        <f>IFERROR(VLOOKUP(HR_Employees[[#This Row],[Employee_ID]],'[1]Synthetic Exit Data'!$A$2:$E$235,4,0)," NA")</f>
        <v>2020-01-06</v>
      </c>
      <c r="J826" t="s">
        <v>49</v>
      </c>
      <c r="K826">
        <v>4</v>
      </c>
      <c r="L826" s="3">
        <v>145749</v>
      </c>
      <c r="M826" t="s">
        <v>25</v>
      </c>
      <c r="N826" t="s">
        <v>26</v>
      </c>
      <c r="O826">
        <v>10.5</v>
      </c>
      <c r="P826" t="s">
        <v>35</v>
      </c>
      <c r="Q826" t="s">
        <v>58</v>
      </c>
      <c r="R826">
        <v>2016</v>
      </c>
      <c r="S826">
        <f>IF(AND(HR_Employees[[#This Row],[Attrition]]="YES",HR_Employees[[#This Row],[Exit_Date]]&lt;&gt;""),YEAR(HR_Employees[[#This Row],[Exit_Date]]),"")</f>
        <v>2020</v>
      </c>
    </row>
    <row r="827" spans="1:19">
      <c r="A827" t="s">
        <v>1277</v>
      </c>
      <c r="B827" t="s">
        <v>843</v>
      </c>
      <c r="C827">
        <v>26</v>
      </c>
      <c r="D827" t="s">
        <v>31</v>
      </c>
      <c r="E827" t="s">
        <v>32</v>
      </c>
      <c r="F827" t="s">
        <v>73</v>
      </c>
      <c r="G827" t="s">
        <v>33</v>
      </c>
      <c r="H827" s="2">
        <v>41621</v>
      </c>
      <c r="I827" s="2" t="str">
        <f>IFERROR(VLOOKUP(HR_Employees[[#This Row],[Employee_ID]],'[1]Synthetic Exit Data'!$A$2:$E$235,4,0)," NA")</f>
        <v xml:space="preserve"> NA</v>
      </c>
      <c r="J827" t="s">
        <v>24</v>
      </c>
      <c r="K827">
        <v>4</v>
      </c>
      <c r="L827" s="3">
        <v>37087</v>
      </c>
      <c r="M827" t="s">
        <v>42</v>
      </c>
      <c r="N827" t="s">
        <v>26</v>
      </c>
      <c r="O827">
        <v>12.83</v>
      </c>
      <c r="P827" t="s">
        <v>51</v>
      </c>
      <c r="Q827" t="s">
        <v>28</v>
      </c>
      <c r="R827">
        <v>2013</v>
      </c>
      <c r="S827" t="str">
        <f>IF(AND(HR_Employees[[#This Row],[Attrition]]="YES",HR_Employees[[#This Row],[Exit_Date]]&lt;&gt;""),YEAR(HR_Employees[[#This Row],[Exit_Date]]),"")</f>
        <v/>
      </c>
    </row>
    <row r="828" spans="1:19">
      <c r="A828" t="s">
        <v>1278</v>
      </c>
      <c r="B828" t="s">
        <v>841</v>
      </c>
      <c r="C828">
        <v>40</v>
      </c>
      <c r="D828" t="s">
        <v>61</v>
      </c>
      <c r="E828" t="s">
        <v>32</v>
      </c>
      <c r="F828" t="s">
        <v>47</v>
      </c>
      <c r="G828" t="s">
        <v>23</v>
      </c>
      <c r="H828" s="2">
        <v>44482</v>
      </c>
      <c r="I828" s="2" t="str">
        <f>IFERROR(VLOOKUP(HR_Employees[[#This Row],[Employee_ID]],'[1]Synthetic Exit Data'!$A$2:$E$235,4,0)," NA")</f>
        <v xml:space="preserve"> NA</v>
      </c>
      <c r="J828" t="s">
        <v>24</v>
      </c>
      <c r="K828">
        <v>4</v>
      </c>
      <c r="L828" s="3">
        <v>33120</v>
      </c>
      <c r="M828" t="s">
        <v>42</v>
      </c>
      <c r="N828" t="s">
        <v>50</v>
      </c>
      <c r="O828">
        <v>5</v>
      </c>
      <c r="P828" t="s">
        <v>57</v>
      </c>
      <c r="Q828" t="s">
        <v>44</v>
      </c>
      <c r="R828">
        <v>2021</v>
      </c>
      <c r="S828" t="str">
        <f>IF(AND(HR_Employees[[#This Row],[Attrition]]="YES",HR_Employees[[#This Row],[Exit_Date]]&lt;&gt;""),YEAR(HR_Employees[[#This Row],[Exit_Date]]),"")</f>
        <v/>
      </c>
    </row>
    <row r="829" spans="1:19">
      <c r="A829" t="s">
        <v>1279</v>
      </c>
      <c r="B829" t="s">
        <v>292</v>
      </c>
      <c r="C829">
        <v>36</v>
      </c>
      <c r="D829" t="s">
        <v>61</v>
      </c>
      <c r="E829" t="s">
        <v>21</v>
      </c>
      <c r="F829" t="s">
        <v>151</v>
      </c>
      <c r="G829" t="s">
        <v>48</v>
      </c>
      <c r="H829" s="2">
        <v>45382</v>
      </c>
      <c r="I829" s="2" t="str">
        <f>IFERROR(VLOOKUP(HR_Employees[[#This Row],[Employee_ID]],'[1]Synthetic Exit Data'!$A$2:$E$235,4,0)," NA")</f>
        <v>2024-12-03</v>
      </c>
      <c r="J829" t="s">
        <v>49</v>
      </c>
      <c r="K829">
        <v>1</v>
      </c>
      <c r="L829" s="3">
        <v>110880</v>
      </c>
      <c r="M829" t="s">
        <v>25</v>
      </c>
      <c r="N829" t="s">
        <v>56</v>
      </c>
      <c r="O829">
        <v>2.42</v>
      </c>
      <c r="P829" t="s">
        <v>27</v>
      </c>
      <c r="Q829" t="s">
        <v>28</v>
      </c>
      <c r="R829">
        <v>2024</v>
      </c>
      <c r="S829">
        <f>IF(AND(HR_Employees[[#This Row],[Attrition]]="YES",HR_Employees[[#This Row],[Exit_Date]]&lt;&gt;""),YEAR(HR_Employees[[#This Row],[Exit_Date]]),"")</f>
        <v>2024</v>
      </c>
    </row>
    <row r="830" spans="1:19">
      <c r="A830" t="s">
        <v>1280</v>
      </c>
      <c r="B830" t="s">
        <v>526</v>
      </c>
      <c r="C830">
        <v>24</v>
      </c>
      <c r="D830" t="s">
        <v>39</v>
      </c>
      <c r="E830" t="s">
        <v>21</v>
      </c>
      <c r="F830" t="s">
        <v>151</v>
      </c>
      <c r="G830" t="s">
        <v>23</v>
      </c>
      <c r="H830" s="2">
        <v>44970</v>
      </c>
      <c r="I830" s="2" t="str">
        <f>IFERROR(VLOOKUP(HR_Employees[[#This Row],[Employee_ID]],'[1]Synthetic Exit Data'!$A$2:$E$235,4,0)," NA")</f>
        <v xml:space="preserve"> NA</v>
      </c>
      <c r="J830" t="s">
        <v>24</v>
      </c>
      <c r="K830">
        <v>3</v>
      </c>
      <c r="L830" s="3">
        <v>97933</v>
      </c>
      <c r="M830" t="s">
        <v>66</v>
      </c>
      <c r="N830" t="s">
        <v>50</v>
      </c>
      <c r="O830">
        <v>3.67</v>
      </c>
      <c r="P830" t="s">
        <v>57</v>
      </c>
      <c r="Q830" t="s">
        <v>44</v>
      </c>
      <c r="R830">
        <v>2023</v>
      </c>
      <c r="S830" t="str">
        <f>IF(AND(HR_Employees[[#This Row],[Attrition]]="YES",HR_Employees[[#This Row],[Exit_Date]]&lt;&gt;""),YEAR(HR_Employees[[#This Row],[Exit_Date]]),"")</f>
        <v/>
      </c>
    </row>
    <row r="831" spans="1:19">
      <c r="A831" t="s">
        <v>1281</v>
      </c>
      <c r="B831" t="s">
        <v>987</v>
      </c>
      <c r="C831">
        <v>40</v>
      </c>
      <c r="D831" t="s">
        <v>61</v>
      </c>
      <c r="E831" t="s">
        <v>21</v>
      </c>
      <c r="F831" t="s">
        <v>55</v>
      </c>
      <c r="G831" t="s">
        <v>23</v>
      </c>
      <c r="H831" s="2">
        <v>45881</v>
      </c>
      <c r="I831" s="2" t="str">
        <f>IFERROR(VLOOKUP(HR_Employees[[#This Row],[Employee_ID]],'[1]Synthetic Exit Data'!$A$2:$E$235,4,0)," NA")</f>
        <v>2025-10-29</v>
      </c>
      <c r="J831" t="s">
        <v>49</v>
      </c>
      <c r="K831">
        <v>3</v>
      </c>
      <c r="L831" s="3">
        <v>26745</v>
      </c>
      <c r="M831" t="s">
        <v>82</v>
      </c>
      <c r="N831" t="s">
        <v>56</v>
      </c>
      <c r="O831">
        <v>1.17</v>
      </c>
      <c r="P831" t="s">
        <v>57</v>
      </c>
      <c r="Q831" t="s">
        <v>58</v>
      </c>
      <c r="R831">
        <v>2025</v>
      </c>
      <c r="S831">
        <f>IF(AND(HR_Employees[[#This Row],[Attrition]]="YES",HR_Employees[[#This Row],[Exit_Date]]&lt;&gt;""),YEAR(HR_Employees[[#This Row],[Exit_Date]]),"")</f>
        <v>2025</v>
      </c>
    </row>
    <row r="832" spans="1:19">
      <c r="A832" t="s">
        <v>1282</v>
      </c>
      <c r="B832" t="s">
        <v>249</v>
      </c>
      <c r="C832">
        <v>33</v>
      </c>
      <c r="D832" t="s">
        <v>31</v>
      </c>
      <c r="E832" t="s">
        <v>32</v>
      </c>
      <c r="F832" t="s">
        <v>55</v>
      </c>
      <c r="G832" t="s">
        <v>23</v>
      </c>
      <c r="H832" s="2">
        <v>46024</v>
      </c>
      <c r="I832" s="2" t="str">
        <f>IFERROR(VLOOKUP(HR_Employees[[#This Row],[Employee_ID]],'[1]Synthetic Exit Data'!$A$2:$E$235,4,0)," NA")</f>
        <v>2026-04-19</v>
      </c>
      <c r="J832" t="s">
        <v>49</v>
      </c>
      <c r="K832">
        <v>2</v>
      </c>
      <c r="L832" s="3">
        <v>21399</v>
      </c>
      <c r="M832" t="s">
        <v>82</v>
      </c>
      <c r="N832" t="s">
        <v>43</v>
      </c>
      <c r="O832">
        <v>0.67</v>
      </c>
      <c r="P832" t="s">
        <v>57</v>
      </c>
      <c r="Q832" t="s">
        <v>58</v>
      </c>
      <c r="R832">
        <v>2026</v>
      </c>
      <c r="S832">
        <f>IF(AND(HR_Employees[[#This Row],[Attrition]]="YES",HR_Employees[[#This Row],[Exit_Date]]&lt;&gt;""),YEAR(HR_Employees[[#This Row],[Exit_Date]]),"")</f>
        <v>2026</v>
      </c>
    </row>
    <row r="833" spans="1:19">
      <c r="A833" t="s">
        <v>1283</v>
      </c>
      <c r="B833" t="s">
        <v>1284</v>
      </c>
      <c r="C833">
        <v>25</v>
      </c>
      <c r="D833" t="s">
        <v>39</v>
      </c>
      <c r="E833" t="s">
        <v>32</v>
      </c>
      <c r="F833" t="s">
        <v>109</v>
      </c>
      <c r="G833" t="s">
        <v>33</v>
      </c>
      <c r="H833" s="2">
        <v>40768</v>
      </c>
      <c r="I833" s="2" t="str">
        <f>IFERROR(VLOOKUP(HR_Employees[[#This Row],[Employee_ID]],'[1]Synthetic Exit Data'!$A$2:$E$235,4,0)," NA")</f>
        <v xml:space="preserve"> NA</v>
      </c>
      <c r="J833" t="s">
        <v>24</v>
      </c>
      <c r="K833">
        <v>2</v>
      </c>
      <c r="L833" s="3">
        <v>71313</v>
      </c>
      <c r="M833" t="s">
        <v>34</v>
      </c>
      <c r="N833" t="s">
        <v>26</v>
      </c>
      <c r="O833">
        <v>15.17</v>
      </c>
      <c r="P833" t="s">
        <v>35</v>
      </c>
      <c r="Q833" t="s">
        <v>36</v>
      </c>
      <c r="R833">
        <v>2011</v>
      </c>
      <c r="S833" t="str">
        <f>IF(AND(HR_Employees[[#This Row],[Attrition]]="YES",HR_Employees[[#This Row],[Exit_Date]]&lt;&gt;""),YEAR(HR_Employees[[#This Row],[Exit_Date]]),"")</f>
        <v/>
      </c>
    </row>
    <row r="834" spans="1:19">
      <c r="A834" t="s">
        <v>1285</v>
      </c>
      <c r="B834" t="s">
        <v>739</v>
      </c>
      <c r="C834">
        <v>62</v>
      </c>
      <c r="D834" t="s">
        <v>54</v>
      </c>
      <c r="E834" t="s">
        <v>32</v>
      </c>
      <c r="F834" t="s">
        <v>55</v>
      </c>
      <c r="G834" t="s">
        <v>48</v>
      </c>
      <c r="H834" s="2">
        <v>41256</v>
      </c>
      <c r="I834" s="2" t="str">
        <f>IFERROR(VLOOKUP(HR_Employees[[#This Row],[Employee_ID]],'[1]Synthetic Exit Data'!$A$2:$E$235,4,0)," NA")</f>
        <v xml:space="preserve"> NA</v>
      </c>
      <c r="J834" t="s">
        <v>24</v>
      </c>
      <c r="K834">
        <v>5</v>
      </c>
      <c r="L834" s="3">
        <v>63673</v>
      </c>
      <c r="M834" t="s">
        <v>34</v>
      </c>
      <c r="N834" t="s">
        <v>26</v>
      </c>
      <c r="O834">
        <v>13.83</v>
      </c>
      <c r="P834" t="s">
        <v>51</v>
      </c>
      <c r="Q834" t="s">
        <v>76</v>
      </c>
      <c r="R834">
        <v>2012</v>
      </c>
      <c r="S834" t="str">
        <f>IF(AND(HR_Employees[[#This Row],[Attrition]]="YES",HR_Employees[[#This Row],[Exit_Date]]&lt;&gt;""),YEAR(HR_Employees[[#This Row],[Exit_Date]]),"")</f>
        <v/>
      </c>
    </row>
    <row r="835" spans="1:19">
      <c r="A835" t="s">
        <v>1286</v>
      </c>
      <c r="B835" t="s">
        <v>1287</v>
      </c>
      <c r="C835">
        <v>23</v>
      </c>
      <c r="D835" t="s">
        <v>39</v>
      </c>
      <c r="E835" t="s">
        <v>21</v>
      </c>
      <c r="F835" t="s">
        <v>22</v>
      </c>
      <c r="G835" t="s">
        <v>33</v>
      </c>
      <c r="H835" s="2">
        <v>45120</v>
      </c>
      <c r="I835" s="2" t="str">
        <f>IFERROR(VLOOKUP(HR_Employees[[#This Row],[Employee_ID]],'[1]Synthetic Exit Data'!$A$2:$E$235,4,0)," NA")</f>
        <v xml:space="preserve"> NA</v>
      </c>
      <c r="J835" t="s">
        <v>24</v>
      </c>
      <c r="K835">
        <v>3</v>
      </c>
      <c r="L835" s="3">
        <v>44790</v>
      </c>
      <c r="M835" t="s">
        <v>42</v>
      </c>
      <c r="N835" t="s">
        <v>50</v>
      </c>
      <c r="O835">
        <v>3.25</v>
      </c>
      <c r="P835" t="s">
        <v>35</v>
      </c>
      <c r="Q835" t="s">
        <v>86</v>
      </c>
      <c r="R835">
        <v>2023</v>
      </c>
      <c r="S835" t="str">
        <f>IF(AND(HR_Employees[[#This Row],[Attrition]]="YES",HR_Employees[[#This Row],[Exit_Date]]&lt;&gt;""),YEAR(HR_Employees[[#This Row],[Exit_Date]]),"")</f>
        <v/>
      </c>
    </row>
    <row r="836" spans="1:19">
      <c r="A836" t="s">
        <v>1288</v>
      </c>
      <c r="B836" t="s">
        <v>526</v>
      </c>
      <c r="C836">
        <v>32</v>
      </c>
      <c r="D836" t="s">
        <v>31</v>
      </c>
      <c r="E836" t="s">
        <v>21</v>
      </c>
      <c r="F836" t="s">
        <v>65</v>
      </c>
      <c r="G836" t="s">
        <v>23</v>
      </c>
      <c r="H836" s="2">
        <v>46125</v>
      </c>
      <c r="I836" s="2" t="str">
        <f>IFERROR(VLOOKUP(HR_Employees[[#This Row],[Employee_ID]],'[1]Synthetic Exit Data'!$A$2:$E$235,4,0)," NA")</f>
        <v xml:space="preserve"> NA</v>
      </c>
      <c r="J836" t="s">
        <v>24</v>
      </c>
      <c r="K836">
        <v>3</v>
      </c>
      <c r="L836" s="3">
        <v>27114</v>
      </c>
      <c r="M836" t="s">
        <v>82</v>
      </c>
      <c r="N836" t="s">
        <v>43</v>
      </c>
      <c r="O836">
        <v>0.5</v>
      </c>
      <c r="P836" t="s">
        <v>125</v>
      </c>
      <c r="Q836" t="s">
        <v>92</v>
      </c>
      <c r="R836">
        <v>2026</v>
      </c>
      <c r="S836" t="str">
        <f>IF(AND(HR_Employees[[#This Row],[Attrition]]="YES",HR_Employees[[#This Row],[Exit_Date]]&lt;&gt;""),YEAR(HR_Employees[[#This Row],[Exit_Date]]),"")</f>
        <v/>
      </c>
    </row>
    <row r="837" spans="1:19">
      <c r="A837" t="s">
        <v>1289</v>
      </c>
      <c r="B837" t="s">
        <v>585</v>
      </c>
      <c r="C837">
        <v>33</v>
      </c>
      <c r="D837" t="s">
        <v>31</v>
      </c>
      <c r="E837" t="s">
        <v>21</v>
      </c>
      <c r="F837" t="s">
        <v>65</v>
      </c>
      <c r="G837" t="s">
        <v>33</v>
      </c>
      <c r="H837" s="2">
        <v>45670</v>
      </c>
      <c r="I837" s="2" t="str">
        <f>IFERROR(VLOOKUP(HR_Employees[[#This Row],[Employee_ID]],'[1]Synthetic Exit Data'!$A$2:$E$235,4,0)," NA")</f>
        <v xml:space="preserve"> NA</v>
      </c>
      <c r="J837" t="s">
        <v>24</v>
      </c>
      <c r="K837">
        <v>4</v>
      </c>
      <c r="L837" s="3">
        <v>45287</v>
      </c>
      <c r="M837" t="s">
        <v>42</v>
      </c>
      <c r="N837" t="s">
        <v>56</v>
      </c>
      <c r="O837">
        <v>1.75</v>
      </c>
      <c r="P837" t="s">
        <v>35</v>
      </c>
      <c r="Q837" t="s">
        <v>62</v>
      </c>
      <c r="R837">
        <v>2025</v>
      </c>
      <c r="S837" t="str">
        <f>IF(AND(HR_Employees[[#This Row],[Attrition]]="YES",HR_Employees[[#This Row],[Exit_Date]]&lt;&gt;""),YEAR(HR_Employees[[#This Row],[Exit_Date]]),"")</f>
        <v/>
      </c>
    </row>
    <row r="838" spans="1:19">
      <c r="A838" t="s">
        <v>1290</v>
      </c>
      <c r="B838" t="s">
        <v>866</v>
      </c>
      <c r="C838">
        <v>43</v>
      </c>
      <c r="D838" t="s">
        <v>61</v>
      </c>
      <c r="E838" t="s">
        <v>32</v>
      </c>
      <c r="F838" t="s">
        <v>73</v>
      </c>
      <c r="G838" t="s">
        <v>114</v>
      </c>
      <c r="H838" s="2">
        <v>46142</v>
      </c>
      <c r="I838" s="2" t="str">
        <f>IFERROR(VLOOKUP(HR_Employees[[#This Row],[Employee_ID]],'[1]Synthetic Exit Data'!$A$2:$E$235,4,0)," NA")</f>
        <v>2026-05-18</v>
      </c>
      <c r="J838" t="s">
        <v>49</v>
      </c>
      <c r="K838">
        <v>4</v>
      </c>
      <c r="L838" s="3">
        <v>19596</v>
      </c>
      <c r="M838" t="s">
        <v>82</v>
      </c>
      <c r="N838" t="s">
        <v>43</v>
      </c>
      <c r="O838">
        <v>0.25</v>
      </c>
      <c r="P838" t="s">
        <v>51</v>
      </c>
      <c r="Q838" t="s">
        <v>62</v>
      </c>
      <c r="R838">
        <v>2026</v>
      </c>
      <c r="S838">
        <f>IF(AND(HR_Employees[[#This Row],[Attrition]]="YES",HR_Employees[[#This Row],[Exit_Date]]&lt;&gt;""),YEAR(HR_Employees[[#This Row],[Exit_Date]]),"")</f>
        <v>2026</v>
      </c>
    </row>
    <row r="839" spans="1:19">
      <c r="A839" t="s">
        <v>1291</v>
      </c>
      <c r="B839" t="s">
        <v>538</v>
      </c>
      <c r="C839">
        <v>46</v>
      </c>
      <c r="D839" t="s">
        <v>20</v>
      </c>
      <c r="E839" t="s">
        <v>32</v>
      </c>
      <c r="F839" t="s">
        <v>22</v>
      </c>
      <c r="G839" t="s">
        <v>48</v>
      </c>
      <c r="H839" s="2">
        <v>44360</v>
      </c>
      <c r="I839" s="2" t="str">
        <f>IFERROR(VLOOKUP(HR_Employees[[#This Row],[Employee_ID]],'[1]Synthetic Exit Data'!$A$2:$E$235,4,0)," NA")</f>
        <v xml:space="preserve"> NA</v>
      </c>
      <c r="J839" t="s">
        <v>24</v>
      </c>
      <c r="K839">
        <v>4</v>
      </c>
      <c r="L839" s="3">
        <v>151006</v>
      </c>
      <c r="M839" t="s">
        <v>25</v>
      </c>
      <c r="N839" t="s">
        <v>79</v>
      </c>
      <c r="O839">
        <v>5.33</v>
      </c>
      <c r="P839" t="s">
        <v>35</v>
      </c>
      <c r="Q839" t="s">
        <v>36</v>
      </c>
      <c r="R839">
        <v>2021</v>
      </c>
      <c r="S839" t="str">
        <f>IF(AND(HR_Employees[[#This Row],[Attrition]]="YES",HR_Employees[[#This Row],[Exit_Date]]&lt;&gt;""),YEAR(HR_Employees[[#This Row],[Exit_Date]]),"")</f>
        <v/>
      </c>
    </row>
    <row r="840" spans="1:19">
      <c r="A840" t="s">
        <v>1292</v>
      </c>
      <c r="B840" t="s">
        <v>209</v>
      </c>
      <c r="C840">
        <v>36</v>
      </c>
      <c r="D840" t="s">
        <v>61</v>
      </c>
      <c r="E840" t="s">
        <v>21</v>
      </c>
      <c r="F840" t="s">
        <v>22</v>
      </c>
      <c r="G840" t="s">
        <v>23</v>
      </c>
      <c r="H840" s="2">
        <v>44847</v>
      </c>
      <c r="I840" s="2" t="str">
        <f>IFERROR(VLOOKUP(HR_Employees[[#This Row],[Employee_ID]],'[1]Synthetic Exit Data'!$A$2:$E$235,4,0)," NA")</f>
        <v xml:space="preserve"> NA</v>
      </c>
      <c r="J840" t="s">
        <v>24</v>
      </c>
      <c r="K840">
        <v>3</v>
      </c>
      <c r="L840" s="3">
        <v>109543</v>
      </c>
      <c r="M840" t="s">
        <v>25</v>
      </c>
      <c r="N840" t="s">
        <v>50</v>
      </c>
      <c r="O840">
        <v>4</v>
      </c>
      <c r="P840" t="s">
        <v>51</v>
      </c>
      <c r="Q840" t="s">
        <v>28</v>
      </c>
      <c r="R840">
        <v>2022</v>
      </c>
      <c r="S840" t="str">
        <f>IF(AND(HR_Employees[[#This Row],[Attrition]]="YES",HR_Employees[[#This Row],[Exit_Date]]&lt;&gt;""),YEAR(HR_Employees[[#This Row],[Exit_Date]]),"")</f>
        <v/>
      </c>
    </row>
    <row r="841" spans="1:19">
      <c r="A841" t="s">
        <v>1293</v>
      </c>
      <c r="B841" t="s">
        <v>90</v>
      </c>
      <c r="C841">
        <v>34</v>
      </c>
      <c r="D841" t="s">
        <v>31</v>
      </c>
      <c r="E841" t="s">
        <v>21</v>
      </c>
      <c r="F841" t="s">
        <v>47</v>
      </c>
      <c r="G841" t="s">
        <v>48</v>
      </c>
      <c r="H841" s="2">
        <v>46125</v>
      </c>
      <c r="I841" s="2" t="str">
        <f>IFERROR(VLOOKUP(HR_Employees[[#This Row],[Employee_ID]],'[1]Synthetic Exit Data'!$A$2:$E$235,4,0)," NA")</f>
        <v xml:space="preserve"> NA</v>
      </c>
      <c r="J841" t="s">
        <v>24</v>
      </c>
      <c r="K841">
        <v>1</v>
      </c>
      <c r="L841" s="3">
        <v>98052</v>
      </c>
      <c r="M841" t="s">
        <v>66</v>
      </c>
      <c r="N841" t="s">
        <v>43</v>
      </c>
      <c r="O841">
        <v>0.5</v>
      </c>
      <c r="P841" t="s">
        <v>125</v>
      </c>
      <c r="Q841" t="s">
        <v>28</v>
      </c>
      <c r="R841">
        <v>2026</v>
      </c>
      <c r="S841" t="str">
        <f>IF(AND(HR_Employees[[#This Row],[Attrition]]="YES",HR_Employees[[#This Row],[Exit_Date]]&lt;&gt;""),YEAR(HR_Employees[[#This Row],[Exit_Date]]),"")</f>
        <v/>
      </c>
    </row>
    <row r="842" spans="1:19">
      <c r="A842" t="s">
        <v>1294</v>
      </c>
      <c r="B842" t="s">
        <v>726</v>
      </c>
      <c r="C842">
        <v>35</v>
      </c>
      <c r="D842" t="s">
        <v>31</v>
      </c>
      <c r="E842" t="s">
        <v>21</v>
      </c>
      <c r="F842" t="s">
        <v>65</v>
      </c>
      <c r="G842" t="s">
        <v>33</v>
      </c>
      <c r="H842" s="2">
        <v>45943</v>
      </c>
      <c r="I842" s="2" t="str">
        <f>IFERROR(VLOOKUP(HR_Employees[[#This Row],[Employee_ID]],'[1]Synthetic Exit Data'!$A$2:$E$235,4,0)," NA")</f>
        <v xml:space="preserve"> NA</v>
      </c>
      <c r="J842" t="s">
        <v>24</v>
      </c>
      <c r="K842">
        <v>1</v>
      </c>
      <c r="L842" s="3">
        <v>45925</v>
      </c>
      <c r="M842" t="s">
        <v>42</v>
      </c>
      <c r="N842" t="s">
        <v>43</v>
      </c>
      <c r="O842">
        <v>1</v>
      </c>
      <c r="P842" t="s">
        <v>125</v>
      </c>
      <c r="Q842" t="s">
        <v>76</v>
      </c>
      <c r="R842">
        <v>2025</v>
      </c>
      <c r="S842" t="str">
        <f>IF(AND(HR_Employees[[#This Row],[Attrition]]="YES",HR_Employees[[#This Row],[Exit_Date]]&lt;&gt;""),YEAR(HR_Employees[[#This Row],[Exit_Date]]),"")</f>
        <v/>
      </c>
    </row>
    <row r="843" spans="1:19">
      <c r="A843" t="s">
        <v>1295</v>
      </c>
      <c r="B843" t="s">
        <v>459</v>
      </c>
      <c r="C843">
        <v>40</v>
      </c>
      <c r="D843" t="s">
        <v>61</v>
      </c>
      <c r="E843" t="s">
        <v>21</v>
      </c>
      <c r="F843" t="s">
        <v>47</v>
      </c>
      <c r="G843" t="s">
        <v>41</v>
      </c>
      <c r="H843" s="2">
        <v>42564</v>
      </c>
      <c r="I843" s="2" t="str">
        <f>IFERROR(VLOOKUP(HR_Employees[[#This Row],[Employee_ID]],'[1]Synthetic Exit Data'!$A$2:$E$235,4,0)," NA")</f>
        <v xml:space="preserve"> NA</v>
      </c>
      <c r="J843" t="s">
        <v>24</v>
      </c>
      <c r="K843">
        <v>2</v>
      </c>
      <c r="L843" s="3">
        <v>156501</v>
      </c>
      <c r="M843" t="s">
        <v>25</v>
      </c>
      <c r="N843" t="s">
        <v>26</v>
      </c>
      <c r="O843">
        <v>10.25</v>
      </c>
      <c r="P843" t="s">
        <v>27</v>
      </c>
      <c r="Q843" t="s">
        <v>92</v>
      </c>
      <c r="R843">
        <v>2016</v>
      </c>
      <c r="S843" t="str">
        <f>IF(AND(HR_Employees[[#This Row],[Attrition]]="YES",HR_Employees[[#This Row],[Exit_Date]]&lt;&gt;""),YEAR(HR_Employees[[#This Row],[Exit_Date]]),"")</f>
        <v/>
      </c>
    </row>
    <row r="844" spans="1:19">
      <c r="A844" t="s">
        <v>1296</v>
      </c>
      <c r="B844" t="s">
        <v>781</v>
      </c>
      <c r="C844">
        <v>26</v>
      </c>
      <c r="D844" t="s">
        <v>31</v>
      </c>
      <c r="E844" t="s">
        <v>21</v>
      </c>
      <c r="F844" t="s">
        <v>40</v>
      </c>
      <c r="G844" t="s">
        <v>33</v>
      </c>
      <c r="H844" s="2">
        <v>46247</v>
      </c>
      <c r="I844" s="2" t="str">
        <f>IFERROR(VLOOKUP(HR_Employees[[#This Row],[Employee_ID]],'[1]Synthetic Exit Data'!$A$2:$E$235,4,0)," NA")</f>
        <v xml:space="preserve"> NA</v>
      </c>
      <c r="J844" t="s">
        <v>24</v>
      </c>
      <c r="K844">
        <v>2</v>
      </c>
      <c r="L844" s="3">
        <v>124385</v>
      </c>
      <c r="M844" t="s">
        <v>25</v>
      </c>
      <c r="N844" t="s">
        <v>43</v>
      </c>
      <c r="O844">
        <v>0.17</v>
      </c>
      <c r="P844" t="s">
        <v>35</v>
      </c>
      <c r="Q844" t="s">
        <v>28</v>
      </c>
      <c r="R844">
        <v>2026</v>
      </c>
      <c r="S844" t="str">
        <f>IF(AND(HR_Employees[[#This Row],[Attrition]]="YES",HR_Employees[[#This Row],[Exit_Date]]&lt;&gt;""),YEAR(HR_Employees[[#This Row],[Exit_Date]]),"")</f>
        <v/>
      </c>
    </row>
    <row r="845" spans="1:19">
      <c r="A845" t="s">
        <v>1297</v>
      </c>
      <c r="B845" t="s">
        <v>770</v>
      </c>
      <c r="C845">
        <v>55</v>
      </c>
      <c r="D845" t="s">
        <v>20</v>
      </c>
      <c r="E845" t="s">
        <v>32</v>
      </c>
      <c r="F845" t="s">
        <v>47</v>
      </c>
      <c r="G845" t="s">
        <v>33</v>
      </c>
      <c r="H845" s="2">
        <v>41833</v>
      </c>
      <c r="I845" s="2" t="str">
        <f>IFERROR(VLOOKUP(HR_Employees[[#This Row],[Employee_ID]],'[1]Synthetic Exit Data'!$A$2:$E$235,4,0)," NA")</f>
        <v xml:space="preserve"> NA</v>
      </c>
      <c r="J845" t="s">
        <v>24</v>
      </c>
      <c r="K845">
        <v>5</v>
      </c>
      <c r="L845" s="3">
        <v>72285</v>
      </c>
      <c r="M845" t="s">
        <v>34</v>
      </c>
      <c r="N845" t="s">
        <v>26</v>
      </c>
      <c r="O845">
        <v>12.25</v>
      </c>
      <c r="P845" t="s">
        <v>51</v>
      </c>
      <c r="Q845" t="s">
        <v>92</v>
      </c>
      <c r="R845">
        <v>2014</v>
      </c>
      <c r="S845" t="str">
        <f>IF(AND(HR_Employees[[#This Row],[Attrition]]="YES",HR_Employees[[#This Row],[Exit_Date]]&lt;&gt;""),YEAR(HR_Employees[[#This Row],[Exit_Date]]),"")</f>
        <v/>
      </c>
    </row>
    <row r="846" spans="1:19">
      <c r="A846" t="s">
        <v>1298</v>
      </c>
      <c r="B846" t="s">
        <v>630</v>
      </c>
      <c r="C846">
        <v>23</v>
      </c>
      <c r="D846" t="s">
        <v>39</v>
      </c>
      <c r="E846" t="s">
        <v>21</v>
      </c>
      <c r="F846" t="s">
        <v>47</v>
      </c>
      <c r="G846" t="s">
        <v>114</v>
      </c>
      <c r="H846" s="2">
        <v>45851</v>
      </c>
      <c r="I846" s="2" t="str">
        <f>IFERROR(VLOOKUP(HR_Employees[[#This Row],[Employee_ID]],'[1]Synthetic Exit Data'!$A$2:$E$235,4,0)," NA")</f>
        <v xml:space="preserve"> NA</v>
      </c>
      <c r="J846" t="s">
        <v>24</v>
      </c>
      <c r="K846">
        <v>5</v>
      </c>
      <c r="L846" s="3">
        <v>69430</v>
      </c>
      <c r="M846" t="s">
        <v>34</v>
      </c>
      <c r="N846" t="s">
        <v>56</v>
      </c>
      <c r="O846">
        <v>1.25</v>
      </c>
      <c r="P846" t="s">
        <v>27</v>
      </c>
      <c r="Q846" t="s">
        <v>86</v>
      </c>
      <c r="R846">
        <v>2025</v>
      </c>
      <c r="S846" t="str">
        <f>IF(AND(HR_Employees[[#This Row],[Attrition]]="YES",HR_Employees[[#This Row],[Exit_Date]]&lt;&gt;""),YEAR(HR_Employees[[#This Row],[Exit_Date]]),"")</f>
        <v/>
      </c>
    </row>
    <row r="847" spans="1:19">
      <c r="A847" t="s">
        <v>1299</v>
      </c>
      <c r="B847" t="s">
        <v>678</v>
      </c>
      <c r="C847">
        <v>60</v>
      </c>
      <c r="D847" t="s">
        <v>54</v>
      </c>
      <c r="E847" t="s">
        <v>32</v>
      </c>
      <c r="F847" t="s">
        <v>40</v>
      </c>
      <c r="G847" t="s">
        <v>23</v>
      </c>
      <c r="H847" s="2">
        <v>41346</v>
      </c>
      <c r="I847" s="2" t="str">
        <f>IFERROR(VLOOKUP(HR_Employees[[#This Row],[Employee_ID]],'[1]Synthetic Exit Data'!$A$2:$E$235,4,0)," NA")</f>
        <v xml:space="preserve"> NA</v>
      </c>
      <c r="J847" t="s">
        <v>24</v>
      </c>
      <c r="K847">
        <v>5</v>
      </c>
      <c r="L847" s="3">
        <v>36821</v>
      </c>
      <c r="M847" t="s">
        <v>42</v>
      </c>
      <c r="N847" t="s">
        <v>26</v>
      </c>
      <c r="O847">
        <v>13.58</v>
      </c>
      <c r="P847" t="s">
        <v>27</v>
      </c>
      <c r="Q847" t="s">
        <v>44</v>
      </c>
      <c r="R847">
        <v>2013</v>
      </c>
      <c r="S847" t="str">
        <f>IF(AND(HR_Employees[[#This Row],[Attrition]]="YES",HR_Employees[[#This Row],[Exit_Date]]&lt;&gt;""),YEAR(HR_Employees[[#This Row],[Exit_Date]]),"")</f>
        <v/>
      </c>
    </row>
    <row r="848" spans="1:19">
      <c r="A848" t="s">
        <v>1300</v>
      </c>
      <c r="B848" t="s">
        <v>843</v>
      </c>
      <c r="C848">
        <v>27</v>
      </c>
      <c r="D848" t="s">
        <v>31</v>
      </c>
      <c r="E848" t="s">
        <v>21</v>
      </c>
      <c r="F848" t="s">
        <v>151</v>
      </c>
      <c r="G848" t="s">
        <v>114</v>
      </c>
      <c r="H848" s="2">
        <v>45364</v>
      </c>
      <c r="I848" s="2" t="str">
        <f>IFERROR(VLOOKUP(HR_Employees[[#This Row],[Employee_ID]],'[1]Synthetic Exit Data'!$A$2:$E$235,4,0)," NA")</f>
        <v xml:space="preserve"> NA</v>
      </c>
      <c r="J848" t="s">
        <v>24</v>
      </c>
      <c r="K848">
        <v>3</v>
      </c>
      <c r="L848" s="3">
        <v>28528</v>
      </c>
      <c r="M848" t="s">
        <v>82</v>
      </c>
      <c r="N848" t="s">
        <v>56</v>
      </c>
      <c r="O848">
        <v>2.58</v>
      </c>
      <c r="P848" t="s">
        <v>27</v>
      </c>
      <c r="Q848" t="s">
        <v>44</v>
      </c>
      <c r="R848">
        <v>2024</v>
      </c>
      <c r="S848" t="str">
        <f>IF(AND(HR_Employees[[#This Row],[Attrition]]="YES",HR_Employees[[#This Row],[Exit_Date]]&lt;&gt;""),YEAR(HR_Employees[[#This Row],[Exit_Date]]),"")</f>
        <v/>
      </c>
    </row>
    <row r="849" spans="1:19">
      <c r="A849" t="s">
        <v>1301</v>
      </c>
      <c r="B849" t="s">
        <v>1065</v>
      </c>
      <c r="C849">
        <v>22</v>
      </c>
      <c r="D849" t="s">
        <v>39</v>
      </c>
      <c r="E849" t="s">
        <v>32</v>
      </c>
      <c r="F849" t="s">
        <v>55</v>
      </c>
      <c r="G849" t="s">
        <v>48</v>
      </c>
      <c r="H849" s="2">
        <v>45151</v>
      </c>
      <c r="I849" s="2" t="str">
        <f>IFERROR(VLOOKUP(HR_Employees[[#This Row],[Employee_ID]],'[1]Synthetic Exit Data'!$A$2:$E$235,4,0)," NA")</f>
        <v xml:space="preserve"> NA</v>
      </c>
      <c r="J849" t="s">
        <v>24</v>
      </c>
      <c r="K849">
        <v>4</v>
      </c>
      <c r="L849" s="3">
        <v>61705</v>
      </c>
      <c r="M849" t="s">
        <v>34</v>
      </c>
      <c r="N849" t="s">
        <v>50</v>
      </c>
      <c r="O849">
        <v>3.17</v>
      </c>
      <c r="P849" t="s">
        <v>27</v>
      </c>
      <c r="Q849" t="s">
        <v>62</v>
      </c>
      <c r="R849">
        <v>2023</v>
      </c>
      <c r="S849" t="str">
        <f>IF(AND(HR_Employees[[#This Row],[Attrition]]="YES",HR_Employees[[#This Row],[Exit_Date]]&lt;&gt;""),YEAR(HR_Employees[[#This Row],[Exit_Date]]),"")</f>
        <v/>
      </c>
    </row>
    <row r="850" spans="1:19">
      <c r="A850" t="s">
        <v>1302</v>
      </c>
      <c r="B850" t="s">
        <v>100</v>
      </c>
      <c r="C850">
        <v>48</v>
      </c>
      <c r="D850" t="s">
        <v>20</v>
      </c>
      <c r="E850" t="s">
        <v>21</v>
      </c>
      <c r="F850" t="s">
        <v>55</v>
      </c>
      <c r="G850" t="s">
        <v>23</v>
      </c>
      <c r="H850" s="2">
        <v>46189</v>
      </c>
      <c r="I850" s="2" t="str">
        <f>IFERROR(VLOOKUP(HR_Employees[[#This Row],[Employee_ID]],'[1]Synthetic Exit Data'!$A$2:$E$235,4,0)," NA")</f>
        <v>2026-08-08</v>
      </c>
      <c r="J850" t="s">
        <v>49</v>
      </c>
      <c r="K850">
        <v>1</v>
      </c>
      <c r="L850" s="3">
        <v>28989</v>
      </c>
      <c r="M850" t="s">
        <v>82</v>
      </c>
      <c r="N850" t="s">
        <v>43</v>
      </c>
      <c r="O850">
        <v>0.25</v>
      </c>
      <c r="P850" t="s">
        <v>27</v>
      </c>
      <c r="Q850" t="s">
        <v>76</v>
      </c>
      <c r="R850">
        <v>2026</v>
      </c>
      <c r="S850">
        <f>IF(AND(HR_Employees[[#This Row],[Attrition]]="YES",HR_Employees[[#This Row],[Exit_Date]]&lt;&gt;""),YEAR(HR_Employees[[#This Row],[Exit_Date]]),"")</f>
        <v>2026</v>
      </c>
    </row>
    <row r="851" spans="1:19">
      <c r="A851" t="s">
        <v>1303</v>
      </c>
      <c r="B851" t="s">
        <v>309</v>
      </c>
      <c r="C851">
        <v>24</v>
      </c>
      <c r="D851" t="s">
        <v>39</v>
      </c>
      <c r="E851" t="s">
        <v>32</v>
      </c>
      <c r="F851" t="s">
        <v>47</v>
      </c>
      <c r="G851" t="s">
        <v>33</v>
      </c>
      <c r="H851" s="2">
        <v>45205</v>
      </c>
      <c r="I851" s="2" t="str">
        <f>IFERROR(VLOOKUP(HR_Employees[[#This Row],[Employee_ID]],'[1]Synthetic Exit Data'!$A$2:$E$235,4,0)," NA")</f>
        <v>2023-11-18</v>
      </c>
      <c r="J851" t="s">
        <v>49</v>
      </c>
      <c r="K851">
        <v>3</v>
      </c>
      <c r="L851" s="3">
        <v>71309</v>
      </c>
      <c r="M851" t="s">
        <v>34</v>
      </c>
      <c r="N851" t="s">
        <v>56</v>
      </c>
      <c r="O851">
        <v>3</v>
      </c>
      <c r="P851" t="s">
        <v>57</v>
      </c>
      <c r="Q851" t="s">
        <v>36</v>
      </c>
      <c r="R851">
        <v>2023</v>
      </c>
      <c r="S851">
        <f>IF(AND(HR_Employees[[#This Row],[Attrition]]="YES",HR_Employees[[#This Row],[Exit_Date]]&lt;&gt;""),YEAR(HR_Employees[[#This Row],[Exit_Date]]),"")</f>
        <v>2023</v>
      </c>
    </row>
    <row r="852" spans="1:19">
      <c r="A852" t="s">
        <v>1304</v>
      </c>
      <c r="B852" t="s">
        <v>1305</v>
      </c>
      <c r="C852">
        <v>23</v>
      </c>
      <c r="D852" t="s">
        <v>39</v>
      </c>
      <c r="E852" t="s">
        <v>32</v>
      </c>
      <c r="F852" t="s">
        <v>40</v>
      </c>
      <c r="G852" t="s">
        <v>33</v>
      </c>
      <c r="H852" s="2">
        <v>45974</v>
      </c>
      <c r="I852" s="2" t="str">
        <f>IFERROR(VLOOKUP(HR_Employees[[#This Row],[Employee_ID]],'[1]Synthetic Exit Data'!$A$2:$E$235,4,0)," NA")</f>
        <v xml:space="preserve"> NA</v>
      </c>
      <c r="J852" t="s">
        <v>24</v>
      </c>
      <c r="K852">
        <v>4</v>
      </c>
      <c r="L852" s="3">
        <v>67422</v>
      </c>
      <c r="M852" t="s">
        <v>34</v>
      </c>
      <c r="N852" t="s">
        <v>43</v>
      </c>
      <c r="O852">
        <v>0.92</v>
      </c>
      <c r="P852" t="s">
        <v>35</v>
      </c>
      <c r="Q852" t="s">
        <v>44</v>
      </c>
      <c r="R852">
        <v>2025</v>
      </c>
      <c r="S852" t="str">
        <f>IF(AND(HR_Employees[[#This Row],[Attrition]]="YES",HR_Employees[[#This Row],[Exit_Date]]&lt;&gt;""),YEAR(HR_Employees[[#This Row],[Exit_Date]]),"")</f>
        <v/>
      </c>
    </row>
    <row r="853" spans="1:19">
      <c r="A853" t="s">
        <v>1306</v>
      </c>
      <c r="B853" t="s">
        <v>234</v>
      </c>
      <c r="C853">
        <v>31</v>
      </c>
      <c r="D853" t="s">
        <v>31</v>
      </c>
      <c r="E853" t="s">
        <v>21</v>
      </c>
      <c r="F853" t="s">
        <v>151</v>
      </c>
      <c r="G853" t="s">
        <v>41</v>
      </c>
      <c r="H853" s="2">
        <v>43855</v>
      </c>
      <c r="I853" s="2" t="str">
        <f>IFERROR(VLOOKUP(HR_Employees[[#This Row],[Employee_ID]],'[1]Synthetic Exit Data'!$A$2:$E$235,4,0)," NA")</f>
        <v>2021-10-31</v>
      </c>
      <c r="J853" t="s">
        <v>49</v>
      </c>
      <c r="K853">
        <v>1</v>
      </c>
      <c r="L853" s="3">
        <v>42825</v>
      </c>
      <c r="M853" t="s">
        <v>42</v>
      </c>
      <c r="N853" t="s">
        <v>79</v>
      </c>
      <c r="O853">
        <v>6.67</v>
      </c>
      <c r="P853" t="s">
        <v>51</v>
      </c>
      <c r="Q853" t="s">
        <v>44</v>
      </c>
      <c r="R853">
        <v>2020</v>
      </c>
      <c r="S853">
        <f>IF(AND(HR_Employees[[#This Row],[Attrition]]="YES",HR_Employees[[#This Row],[Exit_Date]]&lt;&gt;""),YEAR(HR_Employees[[#This Row],[Exit_Date]]),"")</f>
        <v>2021</v>
      </c>
    </row>
    <row r="854" spans="1:19">
      <c r="A854" t="s">
        <v>1307</v>
      </c>
      <c r="B854" t="s">
        <v>138</v>
      </c>
      <c r="C854">
        <v>28</v>
      </c>
      <c r="D854" t="s">
        <v>31</v>
      </c>
      <c r="E854" t="s">
        <v>21</v>
      </c>
      <c r="F854" t="s">
        <v>109</v>
      </c>
      <c r="G854" t="s">
        <v>48</v>
      </c>
      <c r="H854" s="2">
        <v>45243</v>
      </c>
      <c r="I854" s="2" t="str">
        <f>IFERROR(VLOOKUP(HR_Employees[[#This Row],[Employee_ID]],'[1]Synthetic Exit Data'!$A$2:$E$235,4,0)," NA")</f>
        <v xml:space="preserve"> NA</v>
      </c>
      <c r="J854" t="s">
        <v>24</v>
      </c>
      <c r="K854">
        <v>4</v>
      </c>
      <c r="L854" s="3">
        <v>35978</v>
      </c>
      <c r="M854" t="s">
        <v>42</v>
      </c>
      <c r="N854" t="s">
        <v>56</v>
      </c>
      <c r="O854">
        <v>2.92</v>
      </c>
      <c r="P854" t="s">
        <v>27</v>
      </c>
      <c r="Q854" t="s">
        <v>44</v>
      </c>
      <c r="R854">
        <v>2023</v>
      </c>
      <c r="S854" t="str">
        <f>IF(AND(HR_Employees[[#This Row],[Attrition]]="YES",HR_Employees[[#This Row],[Exit_Date]]&lt;&gt;""),YEAR(HR_Employees[[#This Row],[Exit_Date]]),"")</f>
        <v/>
      </c>
    </row>
    <row r="855" spans="1:19">
      <c r="A855" t="s">
        <v>1308</v>
      </c>
      <c r="B855" t="s">
        <v>690</v>
      </c>
      <c r="C855">
        <v>23</v>
      </c>
      <c r="D855" t="s">
        <v>39</v>
      </c>
      <c r="E855" t="s">
        <v>21</v>
      </c>
      <c r="F855" t="s">
        <v>22</v>
      </c>
      <c r="G855" t="s">
        <v>33</v>
      </c>
      <c r="H855" s="2">
        <v>45701</v>
      </c>
      <c r="I855" s="2" t="str">
        <f>IFERROR(VLOOKUP(HR_Employees[[#This Row],[Employee_ID]],'[1]Synthetic Exit Data'!$A$2:$E$235,4,0)," NA")</f>
        <v xml:space="preserve"> NA</v>
      </c>
      <c r="J855" t="s">
        <v>24</v>
      </c>
      <c r="K855">
        <v>2</v>
      </c>
      <c r="L855" s="3">
        <v>20033</v>
      </c>
      <c r="M855" t="s">
        <v>82</v>
      </c>
      <c r="N855" t="s">
        <v>56</v>
      </c>
      <c r="O855">
        <v>1.67</v>
      </c>
      <c r="P855" t="s">
        <v>57</v>
      </c>
      <c r="Q855" t="s">
        <v>76</v>
      </c>
      <c r="R855">
        <v>2025</v>
      </c>
      <c r="S855" t="str">
        <f>IF(AND(HR_Employees[[#This Row],[Attrition]]="YES",HR_Employees[[#This Row],[Exit_Date]]&lt;&gt;""),YEAR(HR_Employees[[#This Row],[Exit_Date]]),"")</f>
        <v/>
      </c>
    </row>
    <row r="856" spans="1:19">
      <c r="A856" t="s">
        <v>1309</v>
      </c>
      <c r="B856" t="s">
        <v>775</v>
      </c>
      <c r="C856">
        <v>31</v>
      </c>
      <c r="D856" t="s">
        <v>31</v>
      </c>
      <c r="E856" t="s">
        <v>21</v>
      </c>
      <c r="F856" t="s">
        <v>47</v>
      </c>
      <c r="G856" t="s">
        <v>48</v>
      </c>
      <c r="H856" s="2">
        <v>45943</v>
      </c>
      <c r="I856" s="2" t="str">
        <f>IFERROR(VLOOKUP(HR_Employees[[#This Row],[Employee_ID]],'[1]Synthetic Exit Data'!$A$2:$E$235,4,0)," NA")</f>
        <v xml:space="preserve"> NA</v>
      </c>
      <c r="J856" t="s">
        <v>24</v>
      </c>
      <c r="K856">
        <v>3</v>
      </c>
      <c r="L856" s="3">
        <v>38803</v>
      </c>
      <c r="M856" t="s">
        <v>42</v>
      </c>
      <c r="N856" t="s">
        <v>43</v>
      </c>
      <c r="O856">
        <v>1</v>
      </c>
      <c r="P856" t="s">
        <v>51</v>
      </c>
      <c r="Q856" t="s">
        <v>76</v>
      </c>
      <c r="R856">
        <v>2025</v>
      </c>
      <c r="S856" t="str">
        <f>IF(AND(HR_Employees[[#This Row],[Attrition]]="YES",HR_Employees[[#This Row],[Exit_Date]]&lt;&gt;""),YEAR(HR_Employees[[#This Row],[Exit_Date]]),"")</f>
        <v/>
      </c>
    </row>
    <row r="857" spans="1:19">
      <c r="A857" t="s">
        <v>1310</v>
      </c>
      <c r="B857" t="s">
        <v>124</v>
      </c>
      <c r="C857">
        <v>33</v>
      </c>
      <c r="D857" t="s">
        <v>31</v>
      </c>
      <c r="E857" t="s">
        <v>21</v>
      </c>
      <c r="F857" t="s">
        <v>55</v>
      </c>
      <c r="G857" t="s">
        <v>41</v>
      </c>
      <c r="H857" s="2">
        <v>46004</v>
      </c>
      <c r="I857" s="2" t="str">
        <f>IFERROR(VLOOKUP(HR_Employees[[#This Row],[Employee_ID]],'[1]Synthetic Exit Data'!$A$2:$E$235,4,0)," NA")</f>
        <v xml:space="preserve"> NA</v>
      </c>
      <c r="J857" t="s">
        <v>24</v>
      </c>
      <c r="K857">
        <v>3</v>
      </c>
      <c r="L857" s="3">
        <v>86329</v>
      </c>
      <c r="M857" t="s">
        <v>66</v>
      </c>
      <c r="N857" t="s">
        <v>43</v>
      </c>
      <c r="O857">
        <v>0.83</v>
      </c>
      <c r="P857" t="s">
        <v>27</v>
      </c>
      <c r="Q857" t="s">
        <v>58</v>
      </c>
      <c r="R857">
        <v>2025</v>
      </c>
      <c r="S857" t="str">
        <f>IF(AND(HR_Employees[[#This Row],[Attrition]]="YES",HR_Employees[[#This Row],[Exit_Date]]&lt;&gt;""),YEAR(HR_Employees[[#This Row],[Exit_Date]]),"")</f>
        <v/>
      </c>
    </row>
    <row r="858" spans="1:19">
      <c r="A858" t="s">
        <v>1311</v>
      </c>
      <c r="B858" t="s">
        <v>1312</v>
      </c>
      <c r="C858">
        <v>33</v>
      </c>
      <c r="D858" t="s">
        <v>31</v>
      </c>
      <c r="E858" t="s">
        <v>21</v>
      </c>
      <c r="F858" t="s">
        <v>65</v>
      </c>
      <c r="G858" t="s">
        <v>41</v>
      </c>
      <c r="H858" s="2">
        <v>46216</v>
      </c>
      <c r="I858" s="2" t="str">
        <f>IFERROR(VLOOKUP(HR_Employees[[#This Row],[Employee_ID]],'[1]Synthetic Exit Data'!$A$2:$E$235,4,0)," NA")</f>
        <v xml:space="preserve"> NA</v>
      </c>
      <c r="J858" t="s">
        <v>24</v>
      </c>
      <c r="K858">
        <v>5</v>
      </c>
      <c r="L858" s="3">
        <v>38583</v>
      </c>
      <c r="M858" t="s">
        <v>42</v>
      </c>
      <c r="N858" t="s">
        <v>43</v>
      </c>
      <c r="O858">
        <v>0.25</v>
      </c>
      <c r="P858" t="s">
        <v>125</v>
      </c>
      <c r="Q858" t="s">
        <v>86</v>
      </c>
      <c r="R858">
        <v>2026</v>
      </c>
      <c r="S858" t="str">
        <f>IF(AND(HR_Employees[[#This Row],[Attrition]]="YES",HR_Employees[[#This Row],[Exit_Date]]&lt;&gt;""),YEAR(HR_Employees[[#This Row],[Exit_Date]]),"")</f>
        <v/>
      </c>
    </row>
    <row r="859" spans="1:19">
      <c r="A859" t="s">
        <v>1313</v>
      </c>
      <c r="B859" t="s">
        <v>766</v>
      </c>
      <c r="C859">
        <v>22</v>
      </c>
      <c r="D859" t="s">
        <v>39</v>
      </c>
      <c r="E859" t="s">
        <v>21</v>
      </c>
      <c r="F859" t="s">
        <v>55</v>
      </c>
      <c r="G859" t="s">
        <v>23</v>
      </c>
      <c r="H859" s="2">
        <v>45151</v>
      </c>
      <c r="I859" s="2" t="str">
        <f>IFERROR(VLOOKUP(HR_Employees[[#This Row],[Employee_ID]],'[1]Synthetic Exit Data'!$A$2:$E$235,4,0)," NA")</f>
        <v xml:space="preserve"> NA</v>
      </c>
      <c r="J859" t="s">
        <v>24</v>
      </c>
      <c r="K859">
        <v>3</v>
      </c>
      <c r="L859" s="3">
        <v>25190</v>
      </c>
      <c r="M859" t="s">
        <v>82</v>
      </c>
      <c r="N859" t="s">
        <v>50</v>
      </c>
      <c r="O859">
        <v>3.17</v>
      </c>
      <c r="P859" t="s">
        <v>27</v>
      </c>
      <c r="Q859" t="s">
        <v>36</v>
      </c>
      <c r="R859">
        <v>2023</v>
      </c>
      <c r="S859" t="str">
        <f>IF(AND(HR_Employees[[#This Row],[Attrition]]="YES",HR_Employees[[#This Row],[Exit_Date]]&lt;&gt;""),YEAR(HR_Employees[[#This Row],[Exit_Date]]),"")</f>
        <v/>
      </c>
    </row>
    <row r="860" spans="1:19">
      <c r="A860" t="s">
        <v>1314</v>
      </c>
      <c r="B860" t="s">
        <v>192</v>
      </c>
      <c r="C860">
        <v>33</v>
      </c>
      <c r="D860" t="s">
        <v>31</v>
      </c>
      <c r="E860" t="s">
        <v>21</v>
      </c>
      <c r="F860" t="s">
        <v>65</v>
      </c>
      <c r="G860" t="s">
        <v>33</v>
      </c>
      <c r="H860" s="2">
        <v>44025</v>
      </c>
      <c r="I860" s="2" t="str">
        <f>IFERROR(VLOOKUP(HR_Employees[[#This Row],[Employee_ID]],'[1]Synthetic Exit Data'!$A$2:$E$235,4,0)," NA")</f>
        <v xml:space="preserve"> NA</v>
      </c>
      <c r="J860" t="s">
        <v>24</v>
      </c>
      <c r="K860">
        <v>2</v>
      </c>
      <c r="L860" s="3">
        <v>57431</v>
      </c>
      <c r="M860" t="s">
        <v>34</v>
      </c>
      <c r="N860" t="s">
        <v>79</v>
      </c>
      <c r="O860">
        <v>6.25</v>
      </c>
      <c r="P860" t="s">
        <v>27</v>
      </c>
      <c r="Q860" t="s">
        <v>36</v>
      </c>
      <c r="R860">
        <v>2020</v>
      </c>
      <c r="S860" t="str">
        <f>IF(AND(HR_Employees[[#This Row],[Attrition]]="YES",HR_Employees[[#This Row],[Exit_Date]]&lt;&gt;""),YEAR(HR_Employees[[#This Row],[Exit_Date]]),"")</f>
        <v/>
      </c>
    </row>
    <row r="861" spans="1:19">
      <c r="A861" t="s">
        <v>1315</v>
      </c>
      <c r="B861" t="s">
        <v>493</v>
      </c>
      <c r="C861">
        <v>51</v>
      </c>
      <c r="D861" t="s">
        <v>20</v>
      </c>
      <c r="E861" t="s">
        <v>32</v>
      </c>
      <c r="F861" t="s">
        <v>22</v>
      </c>
      <c r="G861" t="s">
        <v>48</v>
      </c>
      <c r="H861" s="2">
        <v>44387</v>
      </c>
      <c r="I861" s="2" t="str">
        <f>IFERROR(VLOOKUP(HR_Employees[[#This Row],[Employee_ID]],'[1]Synthetic Exit Data'!$A$2:$E$235,4,0)," NA")</f>
        <v>2021-09-28</v>
      </c>
      <c r="J861" t="s">
        <v>49</v>
      </c>
      <c r="K861">
        <v>5</v>
      </c>
      <c r="L861" s="3">
        <v>65138</v>
      </c>
      <c r="M861" t="s">
        <v>34</v>
      </c>
      <c r="N861" t="s">
        <v>79</v>
      </c>
      <c r="O861">
        <v>5.17</v>
      </c>
      <c r="P861" t="s">
        <v>51</v>
      </c>
      <c r="Q861" t="s">
        <v>76</v>
      </c>
      <c r="R861">
        <v>2021</v>
      </c>
      <c r="S861">
        <f>IF(AND(HR_Employees[[#This Row],[Attrition]]="YES",HR_Employees[[#This Row],[Exit_Date]]&lt;&gt;""),YEAR(HR_Employees[[#This Row],[Exit_Date]]),"")</f>
        <v>2021</v>
      </c>
    </row>
    <row r="862" spans="1:19">
      <c r="A862" t="s">
        <v>1316</v>
      </c>
      <c r="B862" t="s">
        <v>358</v>
      </c>
      <c r="C862">
        <v>24</v>
      </c>
      <c r="D862" t="s">
        <v>39</v>
      </c>
      <c r="E862" t="s">
        <v>32</v>
      </c>
      <c r="F862" t="s">
        <v>22</v>
      </c>
      <c r="G862" t="s">
        <v>48</v>
      </c>
      <c r="H862" s="2">
        <v>46001</v>
      </c>
      <c r="I862" s="2" t="str">
        <f>IFERROR(VLOOKUP(HR_Employees[[#This Row],[Employee_ID]],'[1]Synthetic Exit Data'!$A$2:$E$235,4,0)," NA")</f>
        <v>2025-12-27</v>
      </c>
      <c r="J862" t="s">
        <v>49</v>
      </c>
      <c r="K862">
        <v>4</v>
      </c>
      <c r="L862" s="3">
        <v>25386</v>
      </c>
      <c r="M862" t="s">
        <v>82</v>
      </c>
      <c r="N862" t="s">
        <v>43</v>
      </c>
      <c r="O862">
        <v>0.75</v>
      </c>
      <c r="P862" t="s">
        <v>27</v>
      </c>
      <c r="Q862" t="s">
        <v>28</v>
      </c>
      <c r="R862">
        <v>2025</v>
      </c>
      <c r="S862">
        <f>IF(AND(HR_Employees[[#This Row],[Attrition]]="YES",HR_Employees[[#This Row],[Exit_Date]]&lt;&gt;""),YEAR(HR_Employees[[#This Row],[Exit_Date]]),"")</f>
        <v>2025</v>
      </c>
    </row>
    <row r="863" spans="1:19">
      <c r="A863" t="s">
        <v>1317</v>
      </c>
      <c r="B863" t="s">
        <v>1163</v>
      </c>
      <c r="C863">
        <v>29</v>
      </c>
      <c r="D863" t="s">
        <v>31</v>
      </c>
      <c r="E863" t="s">
        <v>32</v>
      </c>
      <c r="F863" t="s">
        <v>55</v>
      </c>
      <c r="G863" t="s">
        <v>23</v>
      </c>
      <c r="H863" s="2">
        <v>43174</v>
      </c>
      <c r="I863" s="2" t="str">
        <f>IFERROR(VLOOKUP(HR_Employees[[#This Row],[Employee_ID]],'[1]Synthetic Exit Data'!$A$2:$E$235,4,0)," NA")</f>
        <v>2019-08-02</v>
      </c>
      <c r="J863" t="s">
        <v>49</v>
      </c>
      <c r="K863">
        <v>4</v>
      </c>
      <c r="L863" s="3">
        <v>44801</v>
      </c>
      <c r="M863" t="s">
        <v>42</v>
      </c>
      <c r="N863" t="s">
        <v>79</v>
      </c>
      <c r="O863">
        <v>8.42</v>
      </c>
      <c r="P863" t="s">
        <v>27</v>
      </c>
      <c r="Q863" t="s">
        <v>58</v>
      </c>
      <c r="R863">
        <v>2018</v>
      </c>
      <c r="S863">
        <f>IF(AND(HR_Employees[[#This Row],[Attrition]]="YES",HR_Employees[[#This Row],[Exit_Date]]&lt;&gt;""),YEAR(HR_Employees[[#This Row],[Exit_Date]]),"")</f>
        <v>2019</v>
      </c>
    </row>
    <row r="864" spans="1:19">
      <c r="A864" t="s">
        <v>1318</v>
      </c>
      <c r="B864" t="s">
        <v>266</v>
      </c>
      <c r="C864">
        <v>27</v>
      </c>
      <c r="D864" t="s">
        <v>31</v>
      </c>
      <c r="E864" t="s">
        <v>21</v>
      </c>
      <c r="F864" t="s">
        <v>151</v>
      </c>
      <c r="G864" t="s">
        <v>48</v>
      </c>
      <c r="H864" s="2">
        <v>41652</v>
      </c>
      <c r="I864" s="2" t="str">
        <f>IFERROR(VLOOKUP(HR_Employees[[#This Row],[Employee_ID]],'[1]Synthetic Exit Data'!$A$2:$E$235,4,0)," NA")</f>
        <v xml:space="preserve"> NA</v>
      </c>
      <c r="J864" t="s">
        <v>24</v>
      </c>
      <c r="K864">
        <v>2</v>
      </c>
      <c r="L864" s="3">
        <v>29883</v>
      </c>
      <c r="M864" t="s">
        <v>82</v>
      </c>
      <c r="N864" t="s">
        <v>26</v>
      </c>
      <c r="O864">
        <v>12.75</v>
      </c>
      <c r="P864" t="s">
        <v>27</v>
      </c>
      <c r="Q864" t="s">
        <v>44</v>
      </c>
      <c r="R864">
        <v>2014</v>
      </c>
      <c r="S864" t="str">
        <f>IF(AND(HR_Employees[[#This Row],[Attrition]]="YES",HR_Employees[[#This Row],[Exit_Date]]&lt;&gt;""),YEAR(HR_Employees[[#This Row],[Exit_Date]]),"")</f>
        <v/>
      </c>
    </row>
    <row r="865" spans="1:19">
      <c r="A865" t="s">
        <v>1319</v>
      </c>
      <c r="B865" t="s">
        <v>590</v>
      </c>
      <c r="C865">
        <v>54</v>
      </c>
      <c r="D865" t="s">
        <v>20</v>
      </c>
      <c r="E865" t="s">
        <v>21</v>
      </c>
      <c r="F865" t="s">
        <v>109</v>
      </c>
      <c r="G865" t="s">
        <v>33</v>
      </c>
      <c r="H865" s="2">
        <v>43843</v>
      </c>
      <c r="I865" s="2" t="str">
        <f>IFERROR(VLOOKUP(HR_Employees[[#This Row],[Employee_ID]],'[1]Synthetic Exit Data'!$A$2:$E$235,4,0)," NA")</f>
        <v xml:space="preserve"> NA</v>
      </c>
      <c r="J865" t="s">
        <v>24</v>
      </c>
      <c r="K865">
        <v>2</v>
      </c>
      <c r="L865" s="3">
        <v>29210</v>
      </c>
      <c r="M865" t="s">
        <v>82</v>
      </c>
      <c r="N865" t="s">
        <v>79</v>
      </c>
      <c r="O865">
        <v>6.75</v>
      </c>
      <c r="P865" t="s">
        <v>83</v>
      </c>
      <c r="Q865" t="s">
        <v>86</v>
      </c>
      <c r="R865">
        <v>2020</v>
      </c>
      <c r="S865" t="str">
        <f>IF(AND(HR_Employees[[#This Row],[Attrition]]="YES",HR_Employees[[#This Row],[Exit_Date]]&lt;&gt;""),YEAR(HR_Employees[[#This Row],[Exit_Date]]),"")</f>
        <v/>
      </c>
    </row>
    <row r="866" spans="1:19">
      <c r="A866" t="s">
        <v>1320</v>
      </c>
      <c r="B866" t="s">
        <v>654</v>
      </c>
      <c r="C866">
        <v>33</v>
      </c>
      <c r="D866" t="s">
        <v>31</v>
      </c>
      <c r="E866" t="s">
        <v>21</v>
      </c>
      <c r="F866" t="s">
        <v>22</v>
      </c>
      <c r="G866" t="s">
        <v>23</v>
      </c>
      <c r="H866" s="2">
        <v>46035</v>
      </c>
      <c r="I866" s="2" t="str">
        <f>IFERROR(VLOOKUP(HR_Employees[[#This Row],[Employee_ID]],'[1]Synthetic Exit Data'!$A$2:$E$235,4,0)," NA")</f>
        <v xml:space="preserve"> NA</v>
      </c>
      <c r="J866" t="s">
        <v>24</v>
      </c>
      <c r="K866">
        <v>3</v>
      </c>
      <c r="L866" s="3">
        <v>77104</v>
      </c>
      <c r="M866" t="s">
        <v>66</v>
      </c>
      <c r="N866" t="s">
        <v>43</v>
      </c>
      <c r="O866">
        <v>0.75</v>
      </c>
      <c r="P866" t="s">
        <v>57</v>
      </c>
      <c r="Q866" t="s">
        <v>58</v>
      </c>
      <c r="R866">
        <v>2026</v>
      </c>
      <c r="S866" t="str">
        <f>IF(AND(HR_Employees[[#This Row],[Attrition]]="YES",HR_Employees[[#This Row],[Exit_Date]]&lt;&gt;""),YEAR(HR_Employees[[#This Row],[Exit_Date]]),"")</f>
        <v/>
      </c>
    </row>
    <row r="867" spans="1:19">
      <c r="A867" t="s">
        <v>1321</v>
      </c>
      <c r="B867" t="s">
        <v>220</v>
      </c>
      <c r="C867">
        <v>35</v>
      </c>
      <c r="D867" t="s">
        <v>31</v>
      </c>
      <c r="E867" t="s">
        <v>21</v>
      </c>
      <c r="F867" t="s">
        <v>47</v>
      </c>
      <c r="G867" t="s">
        <v>33</v>
      </c>
      <c r="H867" s="2">
        <v>45609</v>
      </c>
      <c r="I867" s="2" t="str">
        <f>IFERROR(VLOOKUP(HR_Employees[[#This Row],[Employee_ID]],'[1]Synthetic Exit Data'!$A$2:$E$235,4,0)," NA")</f>
        <v xml:space="preserve"> NA</v>
      </c>
      <c r="J867" t="s">
        <v>24</v>
      </c>
      <c r="K867">
        <v>3</v>
      </c>
      <c r="L867" s="3">
        <v>154480</v>
      </c>
      <c r="M867" t="s">
        <v>25</v>
      </c>
      <c r="N867" t="s">
        <v>56</v>
      </c>
      <c r="O867">
        <v>1.92</v>
      </c>
      <c r="P867" t="s">
        <v>83</v>
      </c>
      <c r="Q867" t="s">
        <v>62</v>
      </c>
      <c r="R867">
        <v>2024</v>
      </c>
      <c r="S867" t="str">
        <f>IF(AND(HR_Employees[[#This Row],[Attrition]]="YES",HR_Employees[[#This Row],[Exit_Date]]&lt;&gt;""),YEAR(HR_Employees[[#This Row],[Exit_Date]]),"")</f>
        <v/>
      </c>
    </row>
    <row r="868" spans="1:19">
      <c r="A868" t="s">
        <v>1322</v>
      </c>
      <c r="B868" t="s">
        <v>877</v>
      </c>
      <c r="C868">
        <v>54</v>
      </c>
      <c r="D868" t="s">
        <v>20</v>
      </c>
      <c r="E868" t="s">
        <v>32</v>
      </c>
      <c r="F868" t="s">
        <v>22</v>
      </c>
      <c r="G868" t="s">
        <v>41</v>
      </c>
      <c r="H868" s="2">
        <v>40921</v>
      </c>
      <c r="I868" s="2" t="str">
        <f>IFERROR(VLOOKUP(HR_Employees[[#This Row],[Employee_ID]],'[1]Synthetic Exit Data'!$A$2:$E$235,4,0)," NA")</f>
        <v xml:space="preserve"> NA</v>
      </c>
      <c r="J868" t="s">
        <v>24</v>
      </c>
      <c r="K868">
        <v>3</v>
      </c>
      <c r="L868" s="3">
        <v>29089</v>
      </c>
      <c r="M868" t="s">
        <v>82</v>
      </c>
      <c r="N868" t="s">
        <v>26</v>
      </c>
      <c r="O868">
        <v>14.75</v>
      </c>
      <c r="P868" t="s">
        <v>27</v>
      </c>
      <c r="Q868" t="s">
        <v>36</v>
      </c>
      <c r="R868">
        <v>2012</v>
      </c>
      <c r="S868" t="str">
        <f>IF(AND(HR_Employees[[#This Row],[Attrition]]="YES",HR_Employees[[#This Row],[Exit_Date]]&lt;&gt;""),YEAR(HR_Employees[[#This Row],[Exit_Date]]),"")</f>
        <v/>
      </c>
    </row>
    <row r="869" spans="1:19">
      <c r="A869" t="s">
        <v>1323</v>
      </c>
      <c r="B869" t="s">
        <v>974</v>
      </c>
      <c r="C869">
        <v>32</v>
      </c>
      <c r="D869" t="s">
        <v>31</v>
      </c>
      <c r="E869" t="s">
        <v>21</v>
      </c>
      <c r="F869" t="s">
        <v>55</v>
      </c>
      <c r="G869" t="s">
        <v>23</v>
      </c>
      <c r="H869" s="2">
        <v>44847</v>
      </c>
      <c r="I869" s="2" t="str">
        <f>IFERROR(VLOOKUP(HR_Employees[[#This Row],[Employee_ID]],'[1]Synthetic Exit Data'!$A$2:$E$235,4,0)," NA")</f>
        <v xml:space="preserve"> NA</v>
      </c>
      <c r="J869" t="s">
        <v>24</v>
      </c>
      <c r="K869">
        <v>4</v>
      </c>
      <c r="L869" s="3">
        <v>32533</v>
      </c>
      <c r="M869" t="s">
        <v>42</v>
      </c>
      <c r="N869" t="s">
        <v>50</v>
      </c>
      <c r="O869">
        <v>4</v>
      </c>
      <c r="P869" t="s">
        <v>35</v>
      </c>
      <c r="Q869" t="s">
        <v>36</v>
      </c>
      <c r="R869">
        <v>2022</v>
      </c>
      <c r="S869" t="str">
        <f>IF(AND(HR_Employees[[#This Row],[Attrition]]="YES",HR_Employees[[#This Row],[Exit_Date]]&lt;&gt;""),YEAR(HR_Employees[[#This Row],[Exit_Date]]),"")</f>
        <v/>
      </c>
    </row>
    <row r="870" spans="1:19">
      <c r="A870" t="s">
        <v>1324</v>
      </c>
      <c r="B870" t="s">
        <v>1325</v>
      </c>
      <c r="C870">
        <v>27</v>
      </c>
      <c r="D870" t="s">
        <v>31</v>
      </c>
      <c r="E870" t="s">
        <v>21</v>
      </c>
      <c r="F870" t="s">
        <v>55</v>
      </c>
      <c r="G870" t="s">
        <v>23</v>
      </c>
      <c r="H870" s="2">
        <v>46247</v>
      </c>
      <c r="I870" s="2" t="str">
        <f>IFERROR(VLOOKUP(HR_Employees[[#This Row],[Employee_ID]],'[1]Synthetic Exit Data'!$A$2:$E$235,4,0)," NA")</f>
        <v xml:space="preserve"> NA</v>
      </c>
      <c r="J870" t="s">
        <v>24</v>
      </c>
      <c r="K870">
        <v>3</v>
      </c>
      <c r="L870" s="3">
        <v>61429</v>
      </c>
      <c r="M870" t="s">
        <v>34</v>
      </c>
      <c r="N870" t="s">
        <v>43</v>
      </c>
      <c r="O870">
        <v>0.17</v>
      </c>
      <c r="P870" t="s">
        <v>83</v>
      </c>
      <c r="Q870" t="s">
        <v>86</v>
      </c>
      <c r="R870">
        <v>2026</v>
      </c>
      <c r="S870" t="str">
        <f>IF(AND(HR_Employees[[#This Row],[Attrition]]="YES",HR_Employees[[#This Row],[Exit_Date]]&lt;&gt;""),YEAR(HR_Employees[[#This Row],[Exit_Date]]),"")</f>
        <v/>
      </c>
    </row>
    <row r="871" spans="1:19">
      <c r="A871" t="s">
        <v>1326</v>
      </c>
      <c r="B871" t="s">
        <v>611</v>
      </c>
      <c r="C871">
        <v>45</v>
      </c>
      <c r="D871" t="s">
        <v>61</v>
      </c>
      <c r="E871" t="s">
        <v>32</v>
      </c>
      <c r="F871" t="s">
        <v>22</v>
      </c>
      <c r="G871" t="s">
        <v>23</v>
      </c>
      <c r="H871" s="2">
        <v>46035</v>
      </c>
      <c r="I871" s="2" t="str">
        <f>IFERROR(VLOOKUP(HR_Employees[[#This Row],[Employee_ID]],'[1]Synthetic Exit Data'!$A$2:$E$235,4,0)," NA")</f>
        <v xml:space="preserve"> NA</v>
      </c>
      <c r="J871" t="s">
        <v>24</v>
      </c>
      <c r="K871">
        <v>3</v>
      </c>
      <c r="L871" s="3">
        <v>21571</v>
      </c>
      <c r="M871" t="s">
        <v>82</v>
      </c>
      <c r="N871" t="s">
        <v>43</v>
      </c>
      <c r="O871">
        <v>0.75</v>
      </c>
      <c r="P871" t="s">
        <v>35</v>
      </c>
      <c r="Q871" t="s">
        <v>92</v>
      </c>
      <c r="R871">
        <v>2026</v>
      </c>
      <c r="S871" t="str">
        <f>IF(AND(HR_Employees[[#This Row],[Attrition]]="YES",HR_Employees[[#This Row],[Exit_Date]]&lt;&gt;""),YEAR(HR_Employees[[#This Row],[Exit_Date]]),"")</f>
        <v/>
      </c>
    </row>
    <row r="872" spans="1:19">
      <c r="A872" t="s">
        <v>1327</v>
      </c>
      <c r="B872" t="s">
        <v>30</v>
      </c>
      <c r="C872">
        <v>39</v>
      </c>
      <c r="D872" t="s">
        <v>61</v>
      </c>
      <c r="E872" t="s">
        <v>21</v>
      </c>
      <c r="F872" t="s">
        <v>151</v>
      </c>
      <c r="G872" t="s">
        <v>114</v>
      </c>
      <c r="H872" s="2">
        <v>46035</v>
      </c>
      <c r="I872" s="2" t="str">
        <f>IFERROR(VLOOKUP(HR_Employees[[#This Row],[Employee_ID]],'[1]Synthetic Exit Data'!$A$2:$E$235,4,0)," NA")</f>
        <v>2026-05-28</v>
      </c>
      <c r="J872" t="s">
        <v>49</v>
      </c>
      <c r="K872">
        <v>4</v>
      </c>
      <c r="L872" s="3">
        <v>25847</v>
      </c>
      <c r="M872" t="s">
        <v>82</v>
      </c>
      <c r="N872" t="s">
        <v>43</v>
      </c>
      <c r="O872">
        <v>0.67</v>
      </c>
      <c r="P872" t="s">
        <v>125</v>
      </c>
      <c r="Q872" t="s">
        <v>28</v>
      </c>
      <c r="R872">
        <v>2026</v>
      </c>
      <c r="S872">
        <f>IF(AND(HR_Employees[[#This Row],[Attrition]]="YES",HR_Employees[[#This Row],[Exit_Date]]&lt;&gt;""),YEAR(HR_Employees[[#This Row],[Exit_Date]]),"")</f>
        <v>2026</v>
      </c>
    </row>
    <row r="873" spans="1:19">
      <c r="A873" t="s">
        <v>1328</v>
      </c>
      <c r="B873" t="s">
        <v>1329</v>
      </c>
      <c r="C873">
        <v>33</v>
      </c>
      <c r="D873" t="s">
        <v>31</v>
      </c>
      <c r="E873" t="s">
        <v>32</v>
      </c>
      <c r="F873" t="s">
        <v>40</v>
      </c>
      <c r="G873" t="s">
        <v>23</v>
      </c>
      <c r="H873" s="2">
        <v>45821</v>
      </c>
      <c r="I873" s="2" t="str">
        <f>IFERROR(VLOOKUP(HR_Employees[[#This Row],[Employee_ID]],'[1]Synthetic Exit Data'!$A$2:$E$235,4,0)," NA")</f>
        <v xml:space="preserve"> NA</v>
      </c>
      <c r="J873" t="s">
        <v>24</v>
      </c>
      <c r="K873">
        <v>3</v>
      </c>
      <c r="L873" s="3">
        <v>117919</v>
      </c>
      <c r="M873" t="s">
        <v>25</v>
      </c>
      <c r="N873" t="s">
        <v>56</v>
      </c>
      <c r="O873">
        <v>1.33</v>
      </c>
      <c r="P873" t="s">
        <v>57</v>
      </c>
      <c r="Q873" t="s">
        <v>76</v>
      </c>
      <c r="R873">
        <v>2025</v>
      </c>
      <c r="S873" t="str">
        <f>IF(AND(HR_Employees[[#This Row],[Attrition]]="YES",HR_Employees[[#This Row],[Exit_Date]]&lt;&gt;""),YEAR(HR_Employees[[#This Row],[Exit_Date]]),"")</f>
        <v/>
      </c>
    </row>
    <row r="874" spans="1:19">
      <c r="A874" t="s">
        <v>1330</v>
      </c>
      <c r="B874" t="s">
        <v>179</v>
      </c>
      <c r="C874">
        <v>42</v>
      </c>
      <c r="D874" t="s">
        <v>61</v>
      </c>
      <c r="E874" t="s">
        <v>21</v>
      </c>
      <c r="F874" t="s">
        <v>47</v>
      </c>
      <c r="G874" t="s">
        <v>23</v>
      </c>
      <c r="H874" s="2">
        <v>41165</v>
      </c>
      <c r="I874" s="2" t="str">
        <f>IFERROR(VLOOKUP(HR_Employees[[#This Row],[Employee_ID]],'[1]Synthetic Exit Data'!$A$2:$E$235,4,0)," NA")</f>
        <v xml:space="preserve"> NA</v>
      </c>
      <c r="J874" t="s">
        <v>24</v>
      </c>
      <c r="K874">
        <v>3</v>
      </c>
      <c r="L874" s="3">
        <v>89188</v>
      </c>
      <c r="M874" t="s">
        <v>66</v>
      </c>
      <c r="N874" t="s">
        <v>26</v>
      </c>
      <c r="O874">
        <v>14.08</v>
      </c>
      <c r="P874" t="s">
        <v>35</v>
      </c>
      <c r="Q874" t="s">
        <v>58</v>
      </c>
      <c r="R874">
        <v>2012</v>
      </c>
      <c r="S874" t="str">
        <f>IF(AND(HR_Employees[[#This Row],[Attrition]]="YES",HR_Employees[[#This Row],[Exit_Date]]&lt;&gt;""),YEAR(HR_Employees[[#This Row],[Exit_Date]]),"")</f>
        <v/>
      </c>
    </row>
    <row r="875" spans="1:19">
      <c r="A875" t="s">
        <v>1331</v>
      </c>
      <c r="B875" t="s">
        <v>967</v>
      </c>
      <c r="C875">
        <v>53</v>
      </c>
      <c r="D875" t="s">
        <v>20</v>
      </c>
      <c r="E875" t="s">
        <v>32</v>
      </c>
      <c r="F875" t="s">
        <v>40</v>
      </c>
      <c r="G875" t="s">
        <v>41</v>
      </c>
      <c r="H875" s="2">
        <v>46278</v>
      </c>
      <c r="I875" s="2" t="str">
        <f>IFERROR(VLOOKUP(HR_Employees[[#This Row],[Employee_ID]],'[1]Synthetic Exit Data'!$A$2:$E$235,4,0)," NA")</f>
        <v xml:space="preserve"> NA</v>
      </c>
      <c r="J875" t="s">
        <v>24</v>
      </c>
      <c r="K875">
        <v>5</v>
      </c>
      <c r="L875" s="3">
        <v>39951</v>
      </c>
      <c r="M875" t="s">
        <v>42</v>
      </c>
      <c r="N875" t="s">
        <v>43</v>
      </c>
      <c r="O875">
        <v>0.08</v>
      </c>
      <c r="P875" t="s">
        <v>27</v>
      </c>
      <c r="Q875" t="s">
        <v>62</v>
      </c>
      <c r="R875">
        <v>2026</v>
      </c>
      <c r="S875" t="str">
        <f>IF(AND(HR_Employees[[#This Row],[Attrition]]="YES",HR_Employees[[#This Row],[Exit_Date]]&lt;&gt;""),YEAR(HR_Employees[[#This Row],[Exit_Date]]),"")</f>
        <v/>
      </c>
    </row>
    <row r="876" spans="1:19">
      <c r="A876" t="s">
        <v>1332</v>
      </c>
      <c r="B876" t="s">
        <v>100</v>
      </c>
      <c r="C876">
        <v>44</v>
      </c>
      <c r="D876" t="s">
        <v>61</v>
      </c>
      <c r="E876" t="s">
        <v>21</v>
      </c>
      <c r="F876" t="s">
        <v>22</v>
      </c>
      <c r="G876" t="s">
        <v>41</v>
      </c>
      <c r="H876" s="2">
        <v>44574</v>
      </c>
      <c r="I876" s="2" t="str">
        <f>IFERROR(VLOOKUP(HR_Employees[[#This Row],[Employee_ID]],'[1]Synthetic Exit Data'!$A$2:$E$235,4,0)," NA")</f>
        <v xml:space="preserve"> NA</v>
      </c>
      <c r="J876" t="s">
        <v>24</v>
      </c>
      <c r="K876">
        <v>4</v>
      </c>
      <c r="L876" s="3">
        <v>72857</v>
      </c>
      <c r="M876" t="s">
        <v>34</v>
      </c>
      <c r="N876" t="s">
        <v>50</v>
      </c>
      <c r="O876">
        <v>4.75</v>
      </c>
      <c r="P876" t="s">
        <v>57</v>
      </c>
      <c r="Q876" t="s">
        <v>58</v>
      </c>
      <c r="R876">
        <v>2022</v>
      </c>
      <c r="S876" t="str">
        <f>IF(AND(HR_Employees[[#This Row],[Attrition]]="YES",HR_Employees[[#This Row],[Exit_Date]]&lt;&gt;""),YEAR(HR_Employees[[#This Row],[Exit_Date]]),"")</f>
        <v/>
      </c>
    </row>
    <row r="877" spans="1:19">
      <c r="A877" t="s">
        <v>1333</v>
      </c>
      <c r="B877" t="s">
        <v>446</v>
      </c>
      <c r="C877">
        <v>54</v>
      </c>
      <c r="D877" t="s">
        <v>20</v>
      </c>
      <c r="E877" t="s">
        <v>32</v>
      </c>
      <c r="F877" t="s">
        <v>109</v>
      </c>
      <c r="G877" t="s">
        <v>33</v>
      </c>
      <c r="H877" s="2">
        <v>40952</v>
      </c>
      <c r="I877" s="2" t="str">
        <f>IFERROR(VLOOKUP(HR_Employees[[#This Row],[Employee_ID]],'[1]Synthetic Exit Data'!$A$2:$E$235,4,0)," NA")</f>
        <v xml:space="preserve"> NA</v>
      </c>
      <c r="J877" t="s">
        <v>24</v>
      </c>
      <c r="K877">
        <v>5</v>
      </c>
      <c r="L877" s="3">
        <v>34032</v>
      </c>
      <c r="M877" t="s">
        <v>42</v>
      </c>
      <c r="N877" t="s">
        <v>26</v>
      </c>
      <c r="O877">
        <v>14.67</v>
      </c>
      <c r="P877" t="s">
        <v>35</v>
      </c>
      <c r="Q877" t="s">
        <v>28</v>
      </c>
      <c r="R877">
        <v>2012</v>
      </c>
      <c r="S877" t="str">
        <f>IF(AND(HR_Employees[[#This Row],[Attrition]]="YES",HR_Employees[[#This Row],[Exit_Date]]&lt;&gt;""),YEAR(HR_Employees[[#This Row],[Exit_Date]]),"")</f>
        <v/>
      </c>
    </row>
    <row r="878" spans="1:19">
      <c r="A878" t="s">
        <v>1334</v>
      </c>
      <c r="B878" t="s">
        <v>1135</v>
      </c>
      <c r="C878">
        <v>28</v>
      </c>
      <c r="D878" t="s">
        <v>31</v>
      </c>
      <c r="E878" t="s">
        <v>21</v>
      </c>
      <c r="F878" t="s">
        <v>40</v>
      </c>
      <c r="G878" t="s">
        <v>48</v>
      </c>
      <c r="H878" s="2">
        <v>44512</v>
      </c>
      <c r="I878" s="2" t="str">
        <f>IFERROR(VLOOKUP(HR_Employees[[#This Row],[Employee_ID]],'[1]Synthetic Exit Data'!$A$2:$E$235,4,0)," NA")</f>
        <v>2021-11-18</v>
      </c>
      <c r="J878" t="s">
        <v>49</v>
      </c>
      <c r="K878">
        <v>4</v>
      </c>
      <c r="L878" s="3">
        <v>45863</v>
      </c>
      <c r="M878" t="s">
        <v>42</v>
      </c>
      <c r="N878" t="s">
        <v>50</v>
      </c>
      <c r="O878">
        <v>4.92</v>
      </c>
      <c r="P878" t="s">
        <v>27</v>
      </c>
      <c r="Q878" t="s">
        <v>36</v>
      </c>
      <c r="R878">
        <v>2021</v>
      </c>
      <c r="S878">
        <f>IF(AND(HR_Employees[[#This Row],[Attrition]]="YES",HR_Employees[[#This Row],[Exit_Date]]&lt;&gt;""),YEAR(HR_Employees[[#This Row],[Exit_Date]]),"")</f>
        <v>2021</v>
      </c>
    </row>
    <row r="879" spans="1:19">
      <c r="A879" t="s">
        <v>1335</v>
      </c>
      <c r="B879" t="s">
        <v>1159</v>
      </c>
      <c r="C879">
        <v>28</v>
      </c>
      <c r="D879" t="s">
        <v>31</v>
      </c>
      <c r="E879" t="s">
        <v>21</v>
      </c>
      <c r="F879" t="s">
        <v>40</v>
      </c>
      <c r="G879" t="s">
        <v>33</v>
      </c>
      <c r="H879" s="2">
        <v>40981</v>
      </c>
      <c r="I879" s="2" t="str">
        <f>IFERROR(VLOOKUP(HR_Employees[[#This Row],[Employee_ID]],'[1]Synthetic Exit Data'!$A$2:$E$235,4,0)," NA")</f>
        <v xml:space="preserve"> NA</v>
      </c>
      <c r="J879" t="s">
        <v>24</v>
      </c>
      <c r="K879">
        <v>4</v>
      </c>
      <c r="L879" s="3">
        <v>66342</v>
      </c>
      <c r="M879" t="s">
        <v>34</v>
      </c>
      <c r="N879" t="s">
        <v>26</v>
      </c>
      <c r="O879">
        <v>14.58</v>
      </c>
      <c r="P879" t="s">
        <v>51</v>
      </c>
      <c r="Q879" t="s">
        <v>86</v>
      </c>
      <c r="R879">
        <v>2012</v>
      </c>
      <c r="S879" t="str">
        <f>IF(AND(HR_Employees[[#This Row],[Attrition]]="YES",HR_Employees[[#This Row],[Exit_Date]]&lt;&gt;""),YEAR(HR_Employees[[#This Row],[Exit_Date]]),"")</f>
        <v/>
      </c>
    </row>
    <row r="880" spans="1:19">
      <c r="A880" t="s">
        <v>1336</v>
      </c>
      <c r="B880" t="s">
        <v>150</v>
      </c>
      <c r="C880">
        <v>35</v>
      </c>
      <c r="D880" t="s">
        <v>31</v>
      </c>
      <c r="E880" t="s">
        <v>32</v>
      </c>
      <c r="F880" t="s">
        <v>73</v>
      </c>
      <c r="G880" t="s">
        <v>23</v>
      </c>
      <c r="H880" s="2">
        <v>45760</v>
      </c>
      <c r="I880" s="2" t="str">
        <f>IFERROR(VLOOKUP(HR_Employees[[#This Row],[Employee_ID]],'[1]Synthetic Exit Data'!$A$2:$E$235,4,0)," NA")</f>
        <v xml:space="preserve"> NA</v>
      </c>
      <c r="J880" t="s">
        <v>24</v>
      </c>
      <c r="K880">
        <v>4</v>
      </c>
      <c r="L880" s="3">
        <v>33099</v>
      </c>
      <c r="M880" t="s">
        <v>42</v>
      </c>
      <c r="N880" t="s">
        <v>56</v>
      </c>
      <c r="O880">
        <v>1.5</v>
      </c>
      <c r="P880" t="s">
        <v>125</v>
      </c>
      <c r="Q880" t="s">
        <v>28</v>
      </c>
      <c r="R880">
        <v>2025</v>
      </c>
      <c r="S880" t="str">
        <f>IF(AND(HR_Employees[[#This Row],[Attrition]]="YES",HR_Employees[[#This Row],[Exit_Date]]&lt;&gt;""),YEAR(HR_Employees[[#This Row],[Exit_Date]]),"")</f>
        <v/>
      </c>
    </row>
    <row r="881" spans="1:19">
      <c r="A881" t="s">
        <v>1337</v>
      </c>
      <c r="B881" t="s">
        <v>773</v>
      </c>
      <c r="C881">
        <v>34</v>
      </c>
      <c r="D881" t="s">
        <v>31</v>
      </c>
      <c r="E881" t="s">
        <v>21</v>
      </c>
      <c r="F881" t="s">
        <v>22</v>
      </c>
      <c r="G881" t="s">
        <v>23</v>
      </c>
      <c r="H881" s="2">
        <v>40525</v>
      </c>
      <c r="I881" s="2" t="str">
        <f>IFERROR(VLOOKUP(HR_Employees[[#This Row],[Employee_ID]],'[1]Synthetic Exit Data'!$A$2:$E$235,4,0)," NA")</f>
        <v xml:space="preserve"> NA</v>
      </c>
      <c r="J881" t="s">
        <v>24</v>
      </c>
      <c r="K881">
        <v>2</v>
      </c>
      <c r="L881" s="3">
        <v>81229</v>
      </c>
      <c r="M881" t="s">
        <v>66</v>
      </c>
      <c r="N881" t="s">
        <v>26</v>
      </c>
      <c r="O881">
        <v>15.83</v>
      </c>
      <c r="P881" t="s">
        <v>35</v>
      </c>
      <c r="Q881" t="s">
        <v>28</v>
      </c>
      <c r="R881">
        <v>2010</v>
      </c>
      <c r="S881" t="str">
        <f>IF(AND(HR_Employees[[#This Row],[Attrition]]="YES",HR_Employees[[#This Row],[Exit_Date]]&lt;&gt;""),YEAR(HR_Employees[[#This Row],[Exit_Date]]),"")</f>
        <v/>
      </c>
    </row>
    <row r="882" spans="1:19">
      <c r="A882" t="s">
        <v>1338</v>
      </c>
      <c r="B882" t="s">
        <v>1128</v>
      </c>
      <c r="C882">
        <v>47</v>
      </c>
      <c r="D882" t="s">
        <v>20</v>
      </c>
      <c r="E882" t="s">
        <v>21</v>
      </c>
      <c r="F882" t="s">
        <v>47</v>
      </c>
      <c r="G882" t="s">
        <v>23</v>
      </c>
      <c r="H882" s="2">
        <v>45425</v>
      </c>
      <c r="I882" s="2" t="str">
        <f>IFERROR(VLOOKUP(HR_Employees[[#This Row],[Employee_ID]],'[1]Synthetic Exit Data'!$A$2:$E$235,4,0)," NA")</f>
        <v xml:space="preserve"> NA</v>
      </c>
      <c r="J882" t="s">
        <v>24</v>
      </c>
      <c r="K882">
        <v>2</v>
      </c>
      <c r="L882" s="3">
        <v>49878</v>
      </c>
      <c r="M882" t="s">
        <v>42</v>
      </c>
      <c r="N882" t="s">
        <v>56</v>
      </c>
      <c r="O882">
        <v>2.42</v>
      </c>
      <c r="P882" t="s">
        <v>27</v>
      </c>
      <c r="Q882" t="s">
        <v>44</v>
      </c>
      <c r="R882">
        <v>2024</v>
      </c>
      <c r="S882" t="str">
        <f>IF(AND(HR_Employees[[#This Row],[Attrition]]="YES",HR_Employees[[#This Row],[Exit_Date]]&lt;&gt;""),YEAR(HR_Employees[[#This Row],[Exit_Date]]),"")</f>
        <v/>
      </c>
    </row>
    <row r="883" spans="1:19">
      <c r="A883" t="s">
        <v>1339</v>
      </c>
      <c r="B883" t="s">
        <v>1008</v>
      </c>
      <c r="C883">
        <v>34</v>
      </c>
      <c r="D883" t="s">
        <v>31</v>
      </c>
      <c r="E883" t="s">
        <v>21</v>
      </c>
      <c r="F883" t="s">
        <v>55</v>
      </c>
      <c r="G883" t="s">
        <v>33</v>
      </c>
      <c r="H883" s="2">
        <v>46050</v>
      </c>
      <c r="I883" s="2" t="str">
        <f>IFERROR(VLOOKUP(HR_Employees[[#This Row],[Employee_ID]],'[1]Synthetic Exit Data'!$A$2:$E$235,4,0)," NA")</f>
        <v>2026-09-01</v>
      </c>
      <c r="J883" t="s">
        <v>49</v>
      </c>
      <c r="K883">
        <v>3</v>
      </c>
      <c r="L883" s="3">
        <v>36588</v>
      </c>
      <c r="M883" t="s">
        <v>42</v>
      </c>
      <c r="N883" t="s">
        <v>43</v>
      </c>
      <c r="O883">
        <v>0.67</v>
      </c>
      <c r="P883" t="s">
        <v>51</v>
      </c>
      <c r="Q883" t="s">
        <v>76</v>
      </c>
      <c r="R883">
        <v>2026</v>
      </c>
      <c r="S883">
        <f>IF(AND(HR_Employees[[#This Row],[Attrition]]="YES",HR_Employees[[#This Row],[Exit_Date]]&lt;&gt;""),YEAR(HR_Employees[[#This Row],[Exit_Date]]),"")</f>
        <v>2026</v>
      </c>
    </row>
    <row r="884" spans="1:19">
      <c r="A884" t="s">
        <v>1340</v>
      </c>
      <c r="B884" t="s">
        <v>146</v>
      </c>
      <c r="C884">
        <v>40</v>
      </c>
      <c r="D884" t="s">
        <v>61</v>
      </c>
      <c r="E884" t="s">
        <v>21</v>
      </c>
      <c r="F884" t="s">
        <v>40</v>
      </c>
      <c r="G884" t="s">
        <v>23</v>
      </c>
      <c r="H884" s="2">
        <v>44360</v>
      </c>
      <c r="I884" s="2" t="str">
        <f>IFERROR(VLOOKUP(HR_Employees[[#This Row],[Employee_ID]],'[1]Synthetic Exit Data'!$A$2:$E$235,4,0)," NA")</f>
        <v xml:space="preserve"> NA</v>
      </c>
      <c r="J884" t="s">
        <v>24</v>
      </c>
      <c r="K884">
        <v>1</v>
      </c>
      <c r="L884" s="3">
        <v>161334</v>
      </c>
      <c r="M884" t="s">
        <v>25</v>
      </c>
      <c r="N884" t="s">
        <v>79</v>
      </c>
      <c r="O884">
        <v>5.33</v>
      </c>
      <c r="P884" t="s">
        <v>35</v>
      </c>
      <c r="Q884" t="s">
        <v>28</v>
      </c>
      <c r="R884">
        <v>2021</v>
      </c>
      <c r="S884" t="str">
        <f>IF(AND(HR_Employees[[#This Row],[Attrition]]="YES",HR_Employees[[#This Row],[Exit_Date]]&lt;&gt;""),YEAR(HR_Employees[[#This Row],[Exit_Date]]),"")</f>
        <v/>
      </c>
    </row>
    <row r="885" spans="1:19">
      <c r="A885" t="s">
        <v>1341</v>
      </c>
      <c r="B885" t="s">
        <v>1047</v>
      </c>
      <c r="C885">
        <v>61</v>
      </c>
      <c r="D885" t="s">
        <v>54</v>
      </c>
      <c r="E885" t="s">
        <v>32</v>
      </c>
      <c r="F885" t="s">
        <v>151</v>
      </c>
      <c r="G885" t="s">
        <v>114</v>
      </c>
      <c r="H885" s="2">
        <v>40818</v>
      </c>
      <c r="I885" s="2" t="str">
        <f>IFERROR(VLOOKUP(HR_Employees[[#This Row],[Employee_ID]],'[1]Synthetic Exit Data'!$A$2:$E$235,4,0)," NA")</f>
        <v>2017-10-12</v>
      </c>
      <c r="J885" t="s">
        <v>49</v>
      </c>
      <c r="K885">
        <v>3</v>
      </c>
      <c r="L885" s="3">
        <v>95181</v>
      </c>
      <c r="M885" t="s">
        <v>66</v>
      </c>
      <c r="N885" t="s">
        <v>26</v>
      </c>
      <c r="O885">
        <v>14.83</v>
      </c>
      <c r="P885" t="s">
        <v>83</v>
      </c>
      <c r="Q885" t="s">
        <v>62</v>
      </c>
      <c r="R885">
        <v>2011</v>
      </c>
      <c r="S885">
        <f>IF(AND(HR_Employees[[#This Row],[Attrition]]="YES",HR_Employees[[#This Row],[Exit_Date]]&lt;&gt;""),YEAR(HR_Employees[[#This Row],[Exit_Date]]),"")</f>
        <v>2017</v>
      </c>
    </row>
    <row r="886" spans="1:19">
      <c r="A886" t="s">
        <v>1342</v>
      </c>
      <c r="B886" t="s">
        <v>654</v>
      </c>
      <c r="C886">
        <v>27</v>
      </c>
      <c r="D886" t="s">
        <v>31</v>
      </c>
      <c r="E886" t="s">
        <v>32</v>
      </c>
      <c r="F886" t="s">
        <v>151</v>
      </c>
      <c r="G886" t="s">
        <v>48</v>
      </c>
      <c r="H886" s="2">
        <v>46125</v>
      </c>
      <c r="I886" s="2" t="str">
        <f>IFERROR(VLOOKUP(HR_Employees[[#This Row],[Employee_ID]],'[1]Synthetic Exit Data'!$A$2:$E$235,4,0)," NA")</f>
        <v xml:space="preserve"> NA</v>
      </c>
      <c r="J886" t="s">
        <v>24</v>
      </c>
      <c r="K886">
        <v>3</v>
      </c>
      <c r="L886" s="3">
        <v>36154</v>
      </c>
      <c r="M886" t="s">
        <v>42</v>
      </c>
      <c r="N886" t="s">
        <v>43</v>
      </c>
      <c r="O886">
        <v>0.5</v>
      </c>
      <c r="P886" t="s">
        <v>57</v>
      </c>
      <c r="Q886" t="s">
        <v>76</v>
      </c>
      <c r="R886">
        <v>2026</v>
      </c>
      <c r="S886" t="str">
        <f>IF(AND(HR_Employees[[#This Row],[Attrition]]="YES",HR_Employees[[#This Row],[Exit_Date]]&lt;&gt;""),YEAR(HR_Employees[[#This Row],[Exit_Date]]),"")</f>
        <v/>
      </c>
    </row>
    <row r="887" spans="1:19">
      <c r="A887" t="s">
        <v>1343</v>
      </c>
      <c r="B887" t="s">
        <v>999</v>
      </c>
      <c r="C887">
        <v>25</v>
      </c>
      <c r="D887" t="s">
        <v>39</v>
      </c>
      <c r="E887" t="s">
        <v>21</v>
      </c>
      <c r="F887" t="s">
        <v>22</v>
      </c>
      <c r="G887" t="s">
        <v>33</v>
      </c>
      <c r="H887" s="2">
        <v>45729</v>
      </c>
      <c r="I887" s="2" t="str">
        <f>IFERROR(VLOOKUP(HR_Employees[[#This Row],[Employee_ID]],'[1]Synthetic Exit Data'!$A$2:$E$235,4,0)," NA")</f>
        <v xml:space="preserve"> NA</v>
      </c>
      <c r="J887" t="s">
        <v>24</v>
      </c>
      <c r="K887">
        <v>3</v>
      </c>
      <c r="L887" s="3">
        <v>139275</v>
      </c>
      <c r="M887" t="s">
        <v>25</v>
      </c>
      <c r="N887" t="s">
        <v>56</v>
      </c>
      <c r="O887">
        <v>1.58</v>
      </c>
      <c r="P887" t="s">
        <v>125</v>
      </c>
      <c r="Q887" t="s">
        <v>58</v>
      </c>
      <c r="R887">
        <v>2025</v>
      </c>
      <c r="S887" t="str">
        <f>IF(AND(HR_Employees[[#This Row],[Attrition]]="YES",HR_Employees[[#This Row],[Exit_Date]]&lt;&gt;""),YEAR(HR_Employees[[#This Row],[Exit_Date]]),"")</f>
        <v/>
      </c>
    </row>
    <row r="888" spans="1:19">
      <c r="A888" t="s">
        <v>1344</v>
      </c>
      <c r="B888" t="s">
        <v>1345</v>
      </c>
      <c r="C888">
        <v>35</v>
      </c>
      <c r="D888" t="s">
        <v>31</v>
      </c>
      <c r="E888" t="s">
        <v>21</v>
      </c>
      <c r="F888" t="s">
        <v>40</v>
      </c>
      <c r="G888" t="s">
        <v>23</v>
      </c>
      <c r="H888" s="2">
        <v>44574</v>
      </c>
      <c r="I888" s="2" t="str">
        <f>IFERROR(VLOOKUP(HR_Employees[[#This Row],[Employee_ID]],'[1]Synthetic Exit Data'!$A$2:$E$235,4,0)," NA")</f>
        <v xml:space="preserve"> NA</v>
      </c>
      <c r="J888" t="s">
        <v>24</v>
      </c>
      <c r="K888">
        <v>2</v>
      </c>
      <c r="L888" s="3">
        <v>35308</v>
      </c>
      <c r="M888" t="s">
        <v>42</v>
      </c>
      <c r="N888" t="s">
        <v>50</v>
      </c>
      <c r="O888">
        <v>4.75</v>
      </c>
      <c r="P888" t="s">
        <v>125</v>
      </c>
      <c r="Q888" t="s">
        <v>86</v>
      </c>
      <c r="R888">
        <v>2022</v>
      </c>
      <c r="S888" t="str">
        <f>IF(AND(HR_Employees[[#This Row],[Attrition]]="YES",HR_Employees[[#This Row],[Exit_Date]]&lt;&gt;""),YEAR(HR_Employees[[#This Row],[Exit_Date]]),"")</f>
        <v/>
      </c>
    </row>
    <row r="889" spans="1:19">
      <c r="A889" t="s">
        <v>1346</v>
      </c>
      <c r="B889" t="s">
        <v>1080</v>
      </c>
      <c r="C889">
        <v>34</v>
      </c>
      <c r="D889" t="s">
        <v>31</v>
      </c>
      <c r="E889" t="s">
        <v>32</v>
      </c>
      <c r="F889" t="s">
        <v>40</v>
      </c>
      <c r="G889" t="s">
        <v>48</v>
      </c>
      <c r="H889" s="2">
        <v>44786</v>
      </c>
      <c r="I889" s="2" t="str">
        <f>IFERROR(VLOOKUP(HR_Employees[[#This Row],[Employee_ID]],'[1]Synthetic Exit Data'!$A$2:$E$235,4,0)," NA")</f>
        <v xml:space="preserve"> NA</v>
      </c>
      <c r="J889" t="s">
        <v>24</v>
      </c>
      <c r="K889">
        <v>4</v>
      </c>
      <c r="L889" s="3">
        <v>26246</v>
      </c>
      <c r="M889" t="s">
        <v>82</v>
      </c>
      <c r="N889" t="s">
        <v>50</v>
      </c>
      <c r="O889">
        <v>4.17</v>
      </c>
      <c r="P889" t="s">
        <v>27</v>
      </c>
      <c r="Q889" t="s">
        <v>58</v>
      </c>
      <c r="R889">
        <v>2022</v>
      </c>
      <c r="S889" t="str">
        <f>IF(AND(HR_Employees[[#This Row],[Attrition]]="YES",HR_Employees[[#This Row],[Exit_Date]]&lt;&gt;""),YEAR(HR_Employees[[#This Row],[Exit_Date]]),"")</f>
        <v/>
      </c>
    </row>
    <row r="890" spans="1:19">
      <c r="A890" t="s">
        <v>1347</v>
      </c>
      <c r="B890" t="s">
        <v>1348</v>
      </c>
      <c r="C890">
        <v>57</v>
      </c>
      <c r="D890" t="s">
        <v>54</v>
      </c>
      <c r="E890" t="s">
        <v>21</v>
      </c>
      <c r="F890" t="s">
        <v>40</v>
      </c>
      <c r="G890" t="s">
        <v>48</v>
      </c>
      <c r="H890" s="2">
        <v>44240</v>
      </c>
      <c r="I890" s="2" t="str">
        <f>IFERROR(VLOOKUP(HR_Employees[[#This Row],[Employee_ID]],'[1]Synthetic Exit Data'!$A$2:$E$235,4,0)," NA")</f>
        <v xml:space="preserve"> NA</v>
      </c>
      <c r="J890" t="s">
        <v>24</v>
      </c>
      <c r="K890">
        <v>3</v>
      </c>
      <c r="L890" s="3">
        <v>38177</v>
      </c>
      <c r="M890" t="s">
        <v>42</v>
      </c>
      <c r="N890" t="s">
        <v>79</v>
      </c>
      <c r="O890">
        <v>5.67</v>
      </c>
      <c r="P890" t="s">
        <v>27</v>
      </c>
      <c r="Q890" t="s">
        <v>92</v>
      </c>
      <c r="R890">
        <v>2021</v>
      </c>
      <c r="S890" t="str">
        <f>IF(AND(HR_Employees[[#This Row],[Attrition]]="YES",HR_Employees[[#This Row],[Exit_Date]]&lt;&gt;""),YEAR(HR_Employees[[#This Row],[Exit_Date]]),"")</f>
        <v/>
      </c>
    </row>
    <row r="891" spans="1:19">
      <c r="A891" t="s">
        <v>1349</v>
      </c>
      <c r="B891" t="s">
        <v>1035</v>
      </c>
      <c r="C891">
        <v>21</v>
      </c>
      <c r="D891" t="s">
        <v>39</v>
      </c>
      <c r="E891" t="s">
        <v>21</v>
      </c>
      <c r="F891" t="s">
        <v>47</v>
      </c>
      <c r="G891" t="s">
        <v>48</v>
      </c>
      <c r="H891" s="2">
        <v>45821</v>
      </c>
      <c r="I891" s="2" t="str">
        <f>IFERROR(VLOOKUP(HR_Employees[[#This Row],[Employee_ID]],'[1]Synthetic Exit Data'!$A$2:$E$235,4,0)," NA")</f>
        <v xml:space="preserve"> NA</v>
      </c>
      <c r="J891" t="s">
        <v>24</v>
      </c>
      <c r="K891">
        <v>1</v>
      </c>
      <c r="L891" s="3">
        <v>106647</v>
      </c>
      <c r="M891" t="s">
        <v>25</v>
      </c>
      <c r="N891" t="s">
        <v>56</v>
      </c>
      <c r="O891">
        <v>1.33</v>
      </c>
      <c r="P891" t="s">
        <v>57</v>
      </c>
      <c r="Q891" t="s">
        <v>86</v>
      </c>
      <c r="R891">
        <v>2025</v>
      </c>
      <c r="S891" t="str">
        <f>IF(AND(HR_Employees[[#This Row],[Attrition]]="YES",HR_Employees[[#This Row],[Exit_Date]]&lt;&gt;""),YEAR(HR_Employees[[#This Row],[Exit_Date]]),"")</f>
        <v/>
      </c>
    </row>
    <row r="892" spans="1:19">
      <c r="A892" t="s">
        <v>1350</v>
      </c>
      <c r="B892" t="s">
        <v>346</v>
      </c>
      <c r="C892">
        <v>30</v>
      </c>
      <c r="D892" t="s">
        <v>31</v>
      </c>
      <c r="E892" t="s">
        <v>21</v>
      </c>
      <c r="F892" t="s">
        <v>151</v>
      </c>
      <c r="G892" t="s">
        <v>33</v>
      </c>
      <c r="H892" s="2">
        <v>45212</v>
      </c>
      <c r="I892" s="2" t="str">
        <f>IFERROR(VLOOKUP(HR_Employees[[#This Row],[Employee_ID]],'[1]Synthetic Exit Data'!$A$2:$E$235,4,0)," NA")</f>
        <v xml:space="preserve"> NA</v>
      </c>
      <c r="J892" t="s">
        <v>24</v>
      </c>
      <c r="K892">
        <v>3</v>
      </c>
      <c r="L892" s="3">
        <v>49617</v>
      </c>
      <c r="M892" t="s">
        <v>42</v>
      </c>
      <c r="N892" t="s">
        <v>56</v>
      </c>
      <c r="O892">
        <v>3</v>
      </c>
      <c r="P892" t="s">
        <v>125</v>
      </c>
      <c r="Q892" t="s">
        <v>44</v>
      </c>
      <c r="R892">
        <v>2023</v>
      </c>
      <c r="S892" t="str">
        <f>IF(AND(HR_Employees[[#This Row],[Attrition]]="YES",HR_Employees[[#This Row],[Exit_Date]]&lt;&gt;""),YEAR(HR_Employees[[#This Row],[Exit_Date]]),"")</f>
        <v/>
      </c>
    </row>
    <row r="893" spans="1:19">
      <c r="A893" t="s">
        <v>1351</v>
      </c>
      <c r="B893" t="s">
        <v>501</v>
      </c>
      <c r="C893">
        <v>32</v>
      </c>
      <c r="D893" t="s">
        <v>31</v>
      </c>
      <c r="E893" t="s">
        <v>32</v>
      </c>
      <c r="F893" t="s">
        <v>109</v>
      </c>
      <c r="G893" t="s">
        <v>23</v>
      </c>
      <c r="H893" s="2">
        <v>45609</v>
      </c>
      <c r="I893" s="2" t="str">
        <f>IFERROR(VLOOKUP(HR_Employees[[#This Row],[Employee_ID]],'[1]Synthetic Exit Data'!$A$2:$E$235,4,0)," NA")</f>
        <v xml:space="preserve"> NA</v>
      </c>
      <c r="J893" t="s">
        <v>24</v>
      </c>
      <c r="K893">
        <v>4</v>
      </c>
      <c r="L893" s="3">
        <v>82518</v>
      </c>
      <c r="M893" t="s">
        <v>66</v>
      </c>
      <c r="N893" t="s">
        <v>56</v>
      </c>
      <c r="O893">
        <v>1.92</v>
      </c>
      <c r="P893" t="s">
        <v>51</v>
      </c>
      <c r="Q893" t="s">
        <v>44</v>
      </c>
      <c r="R893">
        <v>2024</v>
      </c>
      <c r="S893" t="str">
        <f>IF(AND(HR_Employees[[#This Row],[Attrition]]="YES",HR_Employees[[#This Row],[Exit_Date]]&lt;&gt;""),YEAR(HR_Employees[[#This Row],[Exit_Date]]),"")</f>
        <v/>
      </c>
    </row>
    <row r="894" spans="1:19">
      <c r="A894" t="s">
        <v>1352</v>
      </c>
      <c r="B894" t="s">
        <v>992</v>
      </c>
      <c r="C894">
        <v>33</v>
      </c>
      <c r="D894" t="s">
        <v>31</v>
      </c>
      <c r="E894" t="s">
        <v>21</v>
      </c>
      <c r="F894" t="s">
        <v>65</v>
      </c>
      <c r="G894" t="s">
        <v>23</v>
      </c>
      <c r="H894" s="2">
        <v>43751</v>
      </c>
      <c r="I894" s="2" t="str">
        <f>IFERROR(VLOOKUP(HR_Employees[[#This Row],[Employee_ID]],'[1]Synthetic Exit Data'!$A$2:$E$235,4,0)," NA")</f>
        <v xml:space="preserve"> NA</v>
      </c>
      <c r="J894" t="s">
        <v>24</v>
      </c>
      <c r="K894">
        <v>2</v>
      </c>
      <c r="L894" s="3">
        <v>36339</v>
      </c>
      <c r="M894" t="s">
        <v>42</v>
      </c>
      <c r="N894" t="s">
        <v>79</v>
      </c>
      <c r="O894">
        <v>7</v>
      </c>
      <c r="P894" t="s">
        <v>35</v>
      </c>
      <c r="Q894" t="s">
        <v>44</v>
      </c>
      <c r="R894">
        <v>2019</v>
      </c>
      <c r="S894" t="str">
        <f>IF(AND(HR_Employees[[#This Row],[Attrition]]="YES",HR_Employees[[#This Row],[Exit_Date]]&lt;&gt;""),YEAR(HR_Employees[[#This Row],[Exit_Date]]),"")</f>
        <v/>
      </c>
    </row>
    <row r="895" spans="1:19">
      <c r="A895" t="s">
        <v>1353</v>
      </c>
      <c r="B895" t="s">
        <v>1150</v>
      </c>
      <c r="C895">
        <v>55</v>
      </c>
      <c r="D895" t="s">
        <v>20</v>
      </c>
      <c r="E895" t="s">
        <v>21</v>
      </c>
      <c r="F895" t="s">
        <v>40</v>
      </c>
      <c r="G895" t="s">
        <v>33</v>
      </c>
      <c r="H895" s="2">
        <v>46066</v>
      </c>
      <c r="I895" s="2" t="str">
        <f>IFERROR(VLOOKUP(HR_Employees[[#This Row],[Employee_ID]],'[1]Synthetic Exit Data'!$A$2:$E$235,4,0)," NA")</f>
        <v xml:space="preserve"> NA</v>
      </c>
      <c r="J895" t="s">
        <v>24</v>
      </c>
      <c r="K895">
        <v>4</v>
      </c>
      <c r="L895" s="3">
        <v>29191</v>
      </c>
      <c r="M895" t="s">
        <v>82</v>
      </c>
      <c r="N895" t="s">
        <v>43</v>
      </c>
      <c r="O895">
        <v>0.67</v>
      </c>
      <c r="P895" t="s">
        <v>57</v>
      </c>
      <c r="Q895" t="s">
        <v>62</v>
      </c>
      <c r="R895">
        <v>2026</v>
      </c>
      <c r="S895" t="str">
        <f>IF(AND(HR_Employees[[#This Row],[Attrition]]="YES",HR_Employees[[#This Row],[Exit_Date]]&lt;&gt;""),YEAR(HR_Employees[[#This Row],[Exit_Date]]),"")</f>
        <v/>
      </c>
    </row>
    <row r="896" spans="1:19">
      <c r="A896" t="s">
        <v>1354</v>
      </c>
      <c r="B896" t="s">
        <v>450</v>
      </c>
      <c r="C896">
        <v>29</v>
      </c>
      <c r="D896" t="s">
        <v>31</v>
      </c>
      <c r="E896" t="s">
        <v>32</v>
      </c>
      <c r="F896" t="s">
        <v>55</v>
      </c>
      <c r="G896" t="s">
        <v>23</v>
      </c>
      <c r="H896" s="2">
        <v>46066</v>
      </c>
      <c r="I896" s="2" t="str">
        <f>IFERROR(VLOOKUP(HR_Employees[[#This Row],[Employee_ID]],'[1]Synthetic Exit Data'!$A$2:$E$235,4,0)," NA")</f>
        <v xml:space="preserve"> NA</v>
      </c>
      <c r="J896" t="s">
        <v>24</v>
      </c>
      <c r="K896">
        <v>2</v>
      </c>
      <c r="L896" s="3">
        <v>91034</v>
      </c>
      <c r="M896" t="s">
        <v>66</v>
      </c>
      <c r="N896" t="s">
        <v>43</v>
      </c>
      <c r="O896">
        <v>0.67</v>
      </c>
      <c r="P896" t="s">
        <v>51</v>
      </c>
      <c r="Q896" t="s">
        <v>76</v>
      </c>
      <c r="R896">
        <v>2026</v>
      </c>
      <c r="S896" t="str">
        <f>IF(AND(HR_Employees[[#This Row],[Attrition]]="YES",HR_Employees[[#This Row],[Exit_Date]]&lt;&gt;""),YEAR(HR_Employees[[#This Row],[Exit_Date]]),"")</f>
        <v/>
      </c>
    </row>
    <row r="897" spans="1:19">
      <c r="A897" t="s">
        <v>1355</v>
      </c>
      <c r="B897" t="s">
        <v>489</v>
      </c>
      <c r="C897">
        <v>22</v>
      </c>
      <c r="D897" t="s">
        <v>39</v>
      </c>
      <c r="E897" t="s">
        <v>32</v>
      </c>
      <c r="F897" t="s">
        <v>47</v>
      </c>
      <c r="G897" t="s">
        <v>23</v>
      </c>
      <c r="H897" s="2">
        <v>42877</v>
      </c>
      <c r="I897" s="2" t="str">
        <f>IFERROR(VLOOKUP(HR_Employees[[#This Row],[Employee_ID]],'[1]Synthetic Exit Data'!$A$2:$E$235,4,0)," NA")</f>
        <v>2020-06-11</v>
      </c>
      <c r="J897" t="s">
        <v>49</v>
      </c>
      <c r="K897">
        <v>3</v>
      </c>
      <c r="L897" s="3">
        <v>69151</v>
      </c>
      <c r="M897" t="s">
        <v>34</v>
      </c>
      <c r="N897" t="s">
        <v>79</v>
      </c>
      <c r="O897">
        <v>9.33</v>
      </c>
      <c r="P897" t="s">
        <v>27</v>
      </c>
      <c r="Q897" t="s">
        <v>44</v>
      </c>
      <c r="R897">
        <v>2017</v>
      </c>
      <c r="S897">
        <f>IF(AND(HR_Employees[[#This Row],[Attrition]]="YES",HR_Employees[[#This Row],[Exit_Date]]&lt;&gt;""),YEAR(HR_Employees[[#This Row],[Exit_Date]]),"")</f>
        <v>2020</v>
      </c>
    </row>
    <row r="898" spans="1:19">
      <c r="A898" t="s">
        <v>1356</v>
      </c>
      <c r="B898" t="s">
        <v>724</v>
      </c>
      <c r="C898">
        <v>24</v>
      </c>
      <c r="D898" t="s">
        <v>39</v>
      </c>
      <c r="E898" t="s">
        <v>32</v>
      </c>
      <c r="F898" t="s">
        <v>109</v>
      </c>
      <c r="G898" t="s">
        <v>23</v>
      </c>
      <c r="H898" s="2">
        <v>45120</v>
      </c>
      <c r="I898" s="2" t="str">
        <f>IFERROR(VLOOKUP(HR_Employees[[#This Row],[Employee_ID]],'[1]Synthetic Exit Data'!$A$2:$E$235,4,0)," NA")</f>
        <v xml:space="preserve"> NA</v>
      </c>
      <c r="J898" t="s">
        <v>24</v>
      </c>
      <c r="K898">
        <v>4</v>
      </c>
      <c r="L898" s="3">
        <v>58958</v>
      </c>
      <c r="M898" t="s">
        <v>34</v>
      </c>
      <c r="N898" t="s">
        <v>50</v>
      </c>
      <c r="O898">
        <v>3.25</v>
      </c>
      <c r="P898" t="s">
        <v>51</v>
      </c>
      <c r="Q898" t="s">
        <v>62</v>
      </c>
      <c r="R898">
        <v>2023</v>
      </c>
      <c r="S898" t="str">
        <f>IF(AND(HR_Employees[[#This Row],[Attrition]]="YES",HR_Employees[[#This Row],[Exit_Date]]&lt;&gt;""),YEAR(HR_Employees[[#This Row],[Exit_Date]]),"")</f>
        <v/>
      </c>
    </row>
    <row r="899" spans="1:19">
      <c r="A899" t="s">
        <v>1357</v>
      </c>
      <c r="B899" t="s">
        <v>381</v>
      </c>
      <c r="C899">
        <v>31</v>
      </c>
      <c r="D899" t="s">
        <v>31</v>
      </c>
      <c r="E899" t="s">
        <v>32</v>
      </c>
      <c r="F899" t="s">
        <v>47</v>
      </c>
      <c r="G899" t="s">
        <v>41</v>
      </c>
      <c r="H899" s="2">
        <v>44725</v>
      </c>
      <c r="I899" s="2" t="str">
        <f>IFERROR(VLOOKUP(HR_Employees[[#This Row],[Employee_ID]],'[1]Synthetic Exit Data'!$A$2:$E$235,4,0)," NA")</f>
        <v xml:space="preserve"> NA</v>
      </c>
      <c r="J899" t="s">
        <v>24</v>
      </c>
      <c r="K899">
        <v>3</v>
      </c>
      <c r="L899" s="3">
        <v>22138</v>
      </c>
      <c r="M899" t="s">
        <v>82</v>
      </c>
      <c r="N899" t="s">
        <v>50</v>
      </c>
      <c r="O899">
        <v>4.33</v>
      </c>
      <c r="P899" t="s">
        <v>27</v>
      </c>
      <c r="Q899" t="s">
        <v>62</v>
      </c>
      <c r="R899">
        <v>2022</v>
      </c>
      <c r="S899" t="str">
        <f>IF(AND(HR_Employees[[#This Row],[Attrition]]="YES",HR_Employees[[#This Row],[Exit_Date]]&lt;&gt;""),YEAR(HR_Employees[[#This Row],[Exit_Date]]),"")</f>
        <v/>
      </c>
    </row>
    <row r="900" spans="1:19">
      <c r="A900" t="s">
        <v>1358</v>
      </c>
      <c r="B900" t="s">
        <v>98</v>
      </c>
      <c r="C900">
        <v>30</v>
      </c>
      <c r="D900" t="s">
        <v>31</v>
      </c>
      <c r="E900" t="s">
        <v>21</v>
      </c>
      <c r="F900" t="s">
        <v>40</v>
      </c>
      <c r="G900" t="s">
        <v>23</v>
      </c>
      <c r="H900" s="2">
        <v>45166</v>
      </c>
      <c r="I900" s="2" t="str">
        <f>IFERROR(VLOOKUP(HR_Employees[[#This Row],[Employee_ID]],'[1]Synthetic Exit Data'!$A$2:$E$235,4,0)," NA")</f>
        <v>2023-10-25</v>
      </c>
      <c r="J900" t="s">
        <v>49</v>
      </c>
      <c r="K900">
        <v>4</v>
      </c>
      <c r="L900" s="3">
        <v>94573</v>
      </c>
      <c r="M900" t="s">
        <v>66</v>
      </c>
      <c r="N900" t="s">
        <v>50</v>
      </c>
      <c r="O900">
        <v>3.08</v>
      </c>
      <c r="P900" t="s">
        <v>125</v>
      </c>
      <c r="Q900" t="s">
        <v>62</v>
      </c>
      <c r="R900">
        <v>2023</v>
      </c>
      <c r="S900">
        <f>IF(AND(HR_Employees[[#This Row],[Attrition]]="YES",HR_Employees[[#This Row],[Exit_Date]]&lt;&gt;""),YEAR(HR_Employees[[#This Row],[Exit_Date]]),"")</f>
        <v>2023</v>
      </c>
    </row>
    <row r="901" spans="1:19">
      <c r="A901" t="s">
        <v>1359</v>
      </c>
      <c r="B901" t="s">
        <v>887</v>
      </c>
      <c r="C901">
        <v>24</v>
      </c>
      <c r="D901" t="s">
        <v>39</v>
      </c>
      <c r="E901" t="s">
        <v>21</v>
      </c>
      <c r="F901" t="s">
        <v>40</v>
      </c>
      <c r="G901" t="s">
        <v>23</v>
      </c>
      <c r="H901" s="2">
        <v>44240</v>
      </c>
      <c r="I901" s="2" t="str">
        <f>IFERROR(VLOOKUP(HR_Employees[[#This Row],[Employee_ID]],'[1]Synthetic Exit Data'!$A$2:$E$235,4,0)," NA")</f>
        <v xml:space="preserve"> NA</v>
      </c>
      <c r="J901" t="s">
        <v>24</v>
      </c>
      <c r="K901">
        <v>4</v>
      </c>
      <c r="L901" s="3">
        <v>34007</v>
      </c>
      <c r="M901" t="s">
        <v>42</v>
      </c>
      <c r="N901" t="s">
        <v>79</v>
      </c>
      <c r="O901">
        <v>5.67</v>
      </c>
      <c r="P901" t="s">
        <v>27</v>
      </c>
      <c r="Q901" t="s">
        <v>86</v>
      </c>
      <c r="R901">
        <v>2021</v>
      </c>
      <c r="S901" t="str">
        <f>IF(AND(HR_Employees[[#This Row],[Attrition]]="YES",HR_Employees[[#This Row],[Exit_Date]]&lt;&gt;""),YEAR(HR_Employees[[#This Row],[Exit_Date]]),"")</f>
        <v/>
      </c>
    </row>
    <row r="902" spans="1:19">
      <c r="A902" t="s">
        <v>1360</v>
      </c>
      <c r="B902" t="s">
        <v>158</v>
      </c>
      <c r="C902">
        <v>22</v>
      </c>
      <c r="D902" t="s">
        <v>39</v>
      </c>
      <c r="E902" t="s">
        <v>21</v>
      </c>
      <c r="F902" t="s">
        <v>47</v>
      </c>
      <c r="G902" t="s">
        <v>33</v>
      </c>
      <c r="H902" s="2">
        <v>44664</v>
      </c>
      <c r="I902" s="2" t="str">
        <f>IFERROR(VLOOKUP(HR_Employees[[#This Row],[Employee_ID]],'[1]Synthetic Exit Data'!$A$2:$E$235,4,0)," NA")</f>
        <v xml:space="preserve"> NA</v>
      </c>
      <c r="J902" t="s">
        <v>24</v>
      </c>
      <c r="K902">
        <v>3</v>
      </c>
      <c r="L902" s="3">
        <v>58136</v>
      </c>
      <c r="M902" t="s">
        <v>34</v>
      </c>
      <c r="N902" t="s">
        <v>50</v>
      </c>
      <c r="O902">
        <v>4.5</v>
      </c>
      <c r="P902" t="s">
        <v>125</v>
      </c>
      <c r="Q902" t="s">
        <v>62</v>
      </c>
      <c r="R902">
        <v>2022</v>
      </c>
      <c r="S902" t="str">
        <f>IF(AND(HR_Employees[[#This Row],[Attrition]]="YES",HR_Employees[[#This Row],[Exit_Date]]&lt;&gt;""),YEAR(HR_Employees[[#This Row],[Exit_Date]]),"")</f>
        <v/>
      </c>
    </row>
    <row r="903" spans="1:19">
      <c r="A903" t="s">
        <v>1361</v>
      </c>
      <c r="B903" t="s">
        <v>995</v>
      </c>
      <c r="C903">
        <v>32</v>
      </c>
      <c r="D903" t="s">
        <v>31</v>
      </c>
      <c r="E903" t="s">
        <v>21</v>
      </c>
      <c r="F903" t="s">
        <v>47</v>
      </c>
      <c r="G903" t="s">
        <v>33</v>
      </c>
      <c r="H903" s="2">
        <v>43447</v>
      </c>
      <c r="I903" s="2" t="str">
        <f>IFERROR(VLOOKUP(HR_Employees[[#This Row],[Employee_ID]],'[1]Synthetic Exit Data'!$A$2:$E$235,4,0)," NA")</f>
        <v xml:space="preserve"> NA</v>
      </c>
      <c r="J903" t="s">
        <v>24</v>
      </c>
      <c r="K903">
        <v>3</v>
      </c>
      <c r="L903" s="3">
        <v>86267</v>
      </c>
      <c r="M903" t="s">
        <v>66</v>
      </c>
      <c r="N903" t="s">
        <v>79</v>
      </c>
      <c r="O903">
        <v>7.83</v>
      </c>
      <c r="P903" t="s">
        <v>27</v>
      </c>
      <c r="Q903" t="s">
        <v>36</v>
      </c>
      <c r="R903">
        <v>2018</v>
      </c>
      <c r="S903" t="str">
        <f>IF(AND(HR_Employees[[#This Row],[Attrition]]="YES",HR_Employees[[#This Row],[Exit_Date]]&lt;&gt;""),YEAR(HR_Employees[[#This Row],[Exit_Date]]),"")</f>
        <v/>
      </c>
    </row>
    <row r="904" spans="1:19">
      <c r="A904" t="s">
        <v>1362</v>
      </c>
      <c r="B904" t="s">
        <v>104</v>
      </c>
      <c r="C904">
        <v>31</v>
      </c>
      <c r="D904" t="s">
        <v>31</v>
      </c>
      <c r="E904" t="s">
        <v>32</v>
      </c>
      <c r="F904" t="s">
        <v>40</v>
      </c>
      <c r="G904" t="s">
        <v>48</v>
      </c>
      <c r="H904" s="2">
        <v>42960</v>
      </c>
      <c r="I904" s="2" t="str">
        <f>IFERROR(VLOOKUP(HR_Employees[[#This Row],[Employee_ID]],'[1]Synthetic Exit Data'!$A$2:$E$235,4,0)," NA")</f>
        <v xml:space="preserve"> NA</v>
      </c>
      <c r="J904" t="s">
        <v>24</v>
      </c>
      <c r="K904">
        <v>5</v>
      </c>
      <c r="L904" s="3">
        <v>73536</v>
      </c>
      <c r="M904" t="s">
        <v>34</v>
      </c>
      <c r="N904" t="s">
        <v>79</v>
      </c>
      <c r="O904">
        <v>9.17</v>
      </c>
      <c r="P904" t="s">
        <v>27</v>
      </c>
      <c r="Q904" t="s">
        <v>76</v>
      </c>
      <c r="R904">
        <v>2017</v>
      </c>
      <c r="S904" t="str">
        <f>IF(AND(HR_Employees[[#This Row],[Attrition]]="YES",HR_Employees[[#This Row],[Exit_Date]]&lt;&gt;""),YEAR(HR_Employees[[#This Row],[Exit_Date]]),"")</f>
        <v/>
      </c>
    </row>
    <row r="905" spans="1:19">
      <c r="A905" t="s">
        <v>1363</v>
      </c>
      <c r="B905" t="s">
        <v>1213</v>
      </c>
      <c r="C905">
        <v>36</v>
      </c>
      <c r="D905" t="s">
        <v>61</v>
      </c>
      <c r="E905" t="s">
        <v>21</v>
      </c>
      <c r="F905" t="s">
        <v>40</v>
      </c>
      <c r="G905" t="s">
        <v>23</v>
      </c>
      <c r="H905" s="2">
        <v>45212</v>
      </c>
      <c r="I905" s="2" t="str">
        <f>IFERROR(VLOOKUP(HR_Employees[[#This Row],[Employee_ID]],'[1]Synthetic Exit Data'!$A$2:$E$235,4,0)," NA")</f>
        <v xml:space="preserve"> NA</v>
      </c>
      <c r="J905" t="s">
        <v>24</v>
      </c>
      <c r="K905">
        <v>3</v>
      </c>
      <c r="L905" s="3">
        <v>27994</v>
      </c>
      <c r="M905" t="s">
        <v>82</v>
      </c>
      <c r="N905" t="s">
        <v>56</v>
      </c>
      <c r="O905">
        <v>3</v>
      </c>
      <c r="P905" t="s">
        <v>51</v>
      </c>
      <c r="Q905" t="s">
        <v>28</v>
      </c>
      <c r="R905">
        <v>2023</v>
      </c>
      <c r="S905" t="str">
        <f>IF(AND(HR_Employees[[#This Row],[Attrition]]="YES",HR_Employees[[#This Row],[Exit_Date]]&lt;&gt;""),YEAR(HR_Employees[[#This Row],[Exit_Date]]),"")</f>
        <v/>
      </c>
    </row>
    <row r="906" spans="1:19">
      <c r="A906" t="s">
        <v>1364</v>
      </c>
      <c r="B906" t="s">
        <v>668</v>
      </c>
      <c r="C906">
        <v>32</v>
      </c>
      <c r="D906" t="s">
        <v>31</v>
      </c>
      <c r="E906" t="s">
        <v>21</v>
      </c>
      <c r="F906" t="s">
        <v>47</v>
      </c>
      <c r="G906" t="s">
        <v>23</v>
      </c>
      <c r="H906" s="2">
        <v>41042</v>
      </c>
      <c r="I906" s="2" t="str">
        <f>IFERROR(VLOOKUP(HR_Employees[[#This Row],[Employee_ID]],'[1]Synthetic Exit Data'!$A$2:$E$235,4,0)," NA")</f>
        <v xml:space="preserve"> NA</v>
      </c>
      <c r="J906" t="s">
        <v>24</v>
      </c>
      <c r="K906">
        <v>3</v>
      </c>
      <c r="L906" s="3">
        <v>88849</v>
      </c>
      <c r="M906" t="s">
        <v>66</v>
      </c>
      <c r="N906" t="s">
        <v>26</v>
      </c>
      <c r="O906">
        <v>14.42</v>
      </c>
      <c r="P906" t="s">
        <v>57</v>
      </c>
      <c r="Q906" t="s">
        <v>86</v>
      </c>
      <c r="R906">
        <v>2012</v>
      </c>
      <c r="S906" t="str">
        <f>IF(AND(HR_Employees[[#This Row],[Attrition]]="YES",HR_Employees[[#This Row],[Exit_Date]]&lt;&gt;""),YEAR(HR_Employees[[#This Row],[Exit_Date]]),"")</f>
        <v/>
      </c>
    </row>
    <row r="907" spans="1:19">
      <c r="A907" t="s">
        <v>1365</v>
      </c>
      <c r="B907" t="s">
        <v>440</v>
      </c>
      <c r="C907">
        <v>30</v>
      </c>
      <c r="D907" t="s">
        <v>31</v>
      </c>
      <c r="E907" t="s">
        <v>21</v>
      </c>
      <c r="F907" t="s">
        <v>55</v>
      </c>
      <c r="G907" t="s">
        <v>48</v>
      </c>
      <c r="H907" s="2">
        <v>44482</v>
      </c>
      <c r="I907" s="2" t="str">
        <f>IFERROR(VLOOKUP(HR_Employees[[#This Row],[Employee_ID]],'[1]Synthetic Exit Data'!$A$2:$E$235,4,0)," NA")</f>
        <v xml:space="preserve"> NA</v>
      </c>
      <c r="J907" t="s">
        <v>24</v>
      </c>
      <c r="K907">
        <v>2</v>
      </c>
      <c r="L907" s="3">
        <v>35563</v>
      </c>
      <c r="M907" t="s">
        <v>42</v>
      </c>
      <c r="N907" t="s">
        <v>50</v>
      </c>
      <c r="O907">
        <v>5</v>
      </c>
      <c r="P907" t="s">
        <v>51</v>
      </c>
      <c r="Q907" t="s">
        <v>28</v>
      </c>
      <c r="R907">
        <v>2021</v>
      </c>
      <c r="S907" t="str">
        <f>IF(AND(HR_Employees[[#This Row],[Attrition]]="YES",HR_Employees[[#This Row],[Exit_Date]]&lt;&gt;""),YEAR(HR_Employees[[#This Row],[Exit_Date]]),"")</f>
        <v/>
      </c>
    </row>
    <row r="908" spans="1:19">
      <c r="A908" t="s">
        <v>1366</v>
      </c>
      <c r="B908" t="s">
        <v>773</v>
      </c>
      <c r="C908">
        <v>41</v>
      </c>
      <c r="D908" t="s">
        <v>61</v>
      </c>
      <c r="E908" t="s">
        <v>32</v>
      </c>
      <c r="F908" t="s">
        <v>73</v>
      </c>
      <c r="G908" t="s">
        <v>33</v>
      </c>
      <c r="H908" s="2">
        <v>45701</v>
      </c>
      <c r="I908" s="2" t="str">
        <f>IFERROR(VLOOKUP(HR_Employees[[#This Row],[Employee_ID]],'[1]Synthetic Exit Data'!$A$2:$E$235,4,0)," NA")</f>
        <v xml:space="preserve"> NA</v>
      </c>
      <c r="J908" t="s">
        <v>24</v>
      </c>
      <c r="K908">
        <v>4</v>
      </c>
      <c r="L908" s="3">
        <v>31677</v>
      </c>
      <c r="M908" t="s">
        <v>42</v>
      </c>
      <c r="N908" t="s">
        <v>56</v>
      </c>
      <c r="O908">
        <v>1.67</v>
      </c>
      <c r="P908" t="s">
        <v>51</v>
      </c>
      <c r="Q908" t="s">
        <v>86</v>
      </c>
      <c r="R908">
        <v>2025</v>
      </c>
      <c r="S908" t="str">
        <f>IF(AND(HR_Employees[[#This Row],[Attrition]]="YES",HR_Employees[[#This Row],[Exit_Date]]&lt;&gt;""),YEAR(HR_Employees[[#This Row],[Exit_Date]]),"")</f>
        <v/>
      </c>
    </row>
    <row r="909" spans="1:19">
      <c r="A909" t="s">
        <v>1367</v>
      </c>
      <c r="B909" t="s">
        <v>320</v>
      </c>
      <c r="C909">
        <v>35</v>
      </c>
      <c r="D909" t="s">
        <v>31</v>
      </c>
      <c r="E909" t="s">
        <v>21</v>
      </c>
      <c r="F909" t="s">
        <v>22</v>
      </c>
      <c r="G909" t="s">
        <v>48</v>
      </c>
      <c r="H909" s="2">
        <v>44786</v>
      </c>
      <c r="I909" s="2" t="str">
        <f>IFERROR(VLOOKUP(HR_Employees[[#This Row],[Employee_ID]],'[1]Synthetic Exit Data'!$A$2:$E$235,4,0)," NA")</f>
        <v xml:space="preserve"> NA</v>
      </c>
      <c r="J909" t="s">
        <v>24</v>
      </c>
      <c r="K909">
        <v>4</v>
      </c>
      <c r="L909" s="3">
        <v>43822</v>
      </c>
      <c r="M909" t="s">
        <v>42</v>
      </c>
      <c r="N909" t="s">
        <v>50</v>
      </c>
      <c r="O909">
        <v>4.17</v>
      </c>
      <c r="P909" t="s">
        <v>57</v>
      </c>
      <c r="Q909" t="s">
        <v>62</v>
      </c>
      <c r="R909">
        <v>2022</v>
      </c>
      <c r="S909" t="str">
        <f>IF(AND(HR_Employees[[#This Row],[Attrition]]="YES",HR_Employees[[#This Row],[Exit_Date]]&lt;&gt;""),YEAR(HR_Employees[[#This Row],[Exit_Date]]),"")</f>
        <v/>
      </c>
    </row>
    <row r="910" spans="1:19">
      <c r="A910" t="s">
        <v>1368</v>
      </c>
      <c r="B910" t="s">
        <v>932</v>
      </c>
      <c r="C910">
        <v>47</v>
      </c>
      <c r="D910" t="s">
        <v>20</v>
      </c>
      <c r="E910" t="s">
        <v>32</v>
      </c>
      <c r="F910" t="s">
        <v>22</v>
      </c>
      <c r="G910" t="s">
        <v>48</v>
      </c>
      <c r="H910" s="2">
        <v>46186</v>
      </c>
      <c r="I910" s="2" t="str">
        <f>IFERROR(VLOOKUP(HR_Employees[[#This Row],[Employee_ID]],'[1]Synthetic Exit Data'!$A$2:$E$235,4,0)," NA")</f>
        <v xml:space="preserve"> NA</v>
      </c>
      <c r="J910" t="s">
        <v>24</v>
      </c>
      <c r="K910">
        <v>3</v>
      </c>
      <c r="L910" s="3">
        <v>57879</v>
      </c>
      <c r="M910" t="s">
        <v>34</v>
      </c>
      <c r="N910" t="s">
        <v>43</v>
      </c>
      <c r="O910">
        <v>0.33</v>
      </c>
      <c r="P910" t="s">
        <v>27</v>
      </c>
      <c r="Q910" t="s">
        <v>28</v>
      </c>
      <c r="R910">
        <v>2026</v>
      </c>
      <c r="S910" t="str">
        <f>IF(AND(HR_Employees[[#This Row],[Attrition]]="YES",HR_Employees[[#This Row],[Exit_Date]]&lt;&gt;""),YEAR(HR_Employees[[#This Row],[Exit_Date]]),"")</f>
        <v/>
      </c>
    </row>
    <row r="911" spans="1:19">
      <c r="A911" t="s">
        <v>1369</v>
      </c>
      <c r="B911" t="s">
        <v>800</v>
      </c>
      <c r="C911">
        <v>46</v>
      </c>
      <c r="D911" t="s">
        <v>20</v>
      </c>
      <c r="E911" t="s">
        <v>32</v>
      </c>
      <c r="F911" t="s">
        <v>109</v>
      </c>
      <c r="G911" t="s">
        <v>48</v>
      </c>
      <c r="H911" s="2">
        <v>42229</v>
      </c>
      <c r="I911" s="2" t="str">
        <f>IFERROR(VLOOKUP(HR_Employees[[#This Row],[Employee_ID]],'[1]Synthetic Exit Data'!$A$2:$E$235,4,0)," NA")</f>
        <v xml:space="preserve"> NA</v>
      </c>
      <c r="J911" t="s">
        <v>24</v>
      </c>
      <c r="K911">
        <v>5</v>
      </c>
      <c r="L911" s="3">
        <v>29147</v>
      </c>
      <c r="M911" t="s">
        <v>82</v>
      </c>
      <c r="N911" t="s">
        <v>26</v>
      </c>
      <c r="O911">
        <v>11.17</v>
      </c>
      <c r="P911" t="s">
        <v>125</v>
      </c>
      <c r="Q911" t="s">
        <v>36</v>
      </c>
      <c r="R911">
        <v>2015</v>
      </c>
      <c r="S911" t="str">
        <f>IF(AND(HR_Employees[[#This Row],[Attrition]]="YES",HR_Employees[[#This Row],[Exit_Date]]&lt;&gt;""),YEAR(HR_Employees[[#This Row],[Exit_Date]]),"")</f>
        <v/>
      </c>
    </row>
    <row r="912" spans="1:19">
      <c r="A912" t="s">
        <v>1370</v>
      </c>
      <c r="B912" t="s">
        <v>1080</v>
      </c>
      <c r="C912">
        <v>30</v>
      </c>
      <c r="D912" t="s">
        <v>31</v>
      </c>
      <c r="E912" t="s">
        <v>21</v>
      </c>
      <c r="F912" t="s">
        <v>65</v>
      </c>
      <c r="G912" t="s">
        <v>23</v>
      </c>
      <c r="H912" s="2">
        <v>46155</v>
      </c>
      <c r="I912" s="2" t="str">
        <f>IFERROR(VLOOKUP(HR_Employees[[#This Row],[Employee_ID]],'[1]Synthetic Exit Data'!$A$2:$E$235,4,0)," NA")</f>
        <v xml:space="preserve"> NA</v>
      </c>
      <c r="J912" t="s">
        <v>24</v>
      </c>
      <c r="K912">
        <v>3</v>
      </c>
      <c r="L912" s="3">
        <v>51448</v>
      </c>
      <c r="M912" t="s">
        <v>34</v>
      </c>
      <c r="N912" t="s">
        <v>43</v>
      </c>
      <c r="O912">
        <v>0.42</v>
      </c>
      <c r="P912" t="s">
        <v>35</v>
      </c>
      <c r="Q912" t="s">
        <v>62</v>
      </c>
      <c r="R912">
        <v>2026</v>
      </c>
      <c r="S912" t="str">
        <f>IF(AND(HR_Employees[[#This Row],[Attrition]]="YES",HR_Employees[[#This Row],[Exit_Date]]&lt;&gt;""),YEAR(HR_Employees[[#This Row],[Exit_Date]]),"")</f>
        <v/>
      </c>
    </row>
    <row r="913" spans="1:19">
      <c r="A913" t="s">
        <v>1371</v>
      </c>
      <c r="B913" t="s">
        <v>259</v>
      </c>
      <c r="C913">
        <v>33</v>
      </c>
      <c r="D913" t="s">
        <v>31</v>
      </c>
      <c r="E913" t="s">
        <v>21</v>
      </c>
      <c r="F913" t="s">
        <v>40</v>
      </c>
      <c r="G913" t="s">
        <v>23</v>
      </c>
      <c r="H913" s="2">
        <v>45943</v>
      </c>
      <c r="I913" s="2" t="str">
        <f>IFERROR(VLOOKUP(HR_Employees[[#This Row],[Employee_ID]],'[1]Synthetic Exit Data'!$A$2:$E$235,4,0)," NA")</f>
        <v xml:space="preserve"> NA</v>
      </c>
      <c r="J913" t="s">
        <v>24</v>
      </c>
      <c r="K913">
        <v>2</v>
      </c>
      <c r="L913" s="3">
        <v>80017</v>
      </c>
      <c r="M913" t="s">
        <v>66</v>
      </c>
      <c r="N913" t="s">
        <v>43</v>
      </c>
      <c r="O913">
        <v>1</v>
      </c>
      <c r="P913" t="s">
        <v>27</v>
      </c>
      <c r="Q913" t="s">
        <v>58</v>
      </c>
      <c r="R913">
        <v>2025</v>
      </c>
      <c r="S913" t="str">
        <f>IF(AND(HR_Employees[[#This Row],[Attrition]]="YES",HR_Employees[[#This Row],[Exit_Date]]&lt;&gt;""),YEAR(HR_Employees[[#This Row],[Exit_Date]]),"")</f>
        <v/>
      </c>
    </row>
    <row r="914" spans="1:19">
      <c r="A914" t="s">
        <v>1372</v>
      </c>
      <c r="B914" t="s">
        <v>218</v>
      </c>
      <c r="C914">
        <v>33</v>
      </c>
      <c r="D914" t="s">
        <v>31</v>
      </c>
      <c r="E914" t="s">
        <v>21</v>
      </c>
      <c r="F914" t="s">
        <v>47</v>
      </c>
      <c r="G914" t="s">
        <v>23</v>
      </c>
      <c r="H914" s="2">
        <v>43052</v>
      </c>
      <c r="I914" s="2" t="str">
        <f>IFERROR(VLOOKUP(HR_Employees[[#This Row],[Employee_ID]],'[1]Synthetic Exit Data'!$A$2:$E$235,4,0)," NA")</f>
        <v xml:space="preserve"> NA</v>
      </c>
      <c r="J914" t="s">
        <v>24</v>
      </c>
      <c r="K914">
        <v>4</v>
      </c>
      <c r="L914" s="3">
        <v>87965</v>
      </c>
      <c r="M914" t="s">
        <v>66</v>
      </c>
      <c r="N914" t="s">
        <v>79</v>
      </c>
      <c r="O914">
        <v>8.92</v>
      </c>
      <c r="P914" t="s">
        <v>27</v>
      </c>
      <c r="Q914" t="s">
        <v>92</v>
      </c>
      <c r="R914">
        <v>2017</v>
      </c>
      <c r="S914" t="str">
        <f>IF(AND(HR_Employees[[#This Row],[Attrition]]="YES",HR_Employees[[#This Row],[Exit_Date]]&lt;&gt;""),YEAR(HR_Employees[[#This Row],[Exit_Date]]),"")</f>
        <v/>
      </c>
    </row>
    <row r="915" spans="1:19">
      <c r="A915" t="s">
        <v>1373</v>
      </c>
      <c r="B915" t="s">
        <v>397</v>
      </c>
      <c r="C915">
        <v>41</v>
      </c>
      <c r="D915" t="s">
        <v>61</v>
      </c>
      <c r="E915" t="s">
        <v>32</v>
      </c>
      <c r="F915" t="s">
        <v>55</v>
      </c>
      <c r="G915" t="s">
        <v>41</v>
      </c>
      <c r="H915" s="2">
        <v>42687</v>
      </c>
      <c r="I915" s="2" t="str">
        <f>IFERROR(VLOOKUP(HR_Employees[[#This Row],[Employee_ID]],'[1]Synthetic Exit Data'!$A$2:$E$235,4,0)," NA")</f>
        <v xml:space="preserve"> NA</v>
      </c>
      <c r="J915" t="s">
        <v>24</v>
      </c>
      <c r="K915">
        <v>4</v>
      </c>
      <c r="L915" s="3">
        <v>87010</v>
      </c>
      <c r="M915" t="s">
        <v>66</v>
      </c>
      <c r="N915" t="s">
        <v>79</v>
      </c>
      <c r="O915">
        <v>9.92</v>
      </c>
      <c r="P915" t="s">
        <v>27</v>
      </c>
      <c r="Q915" t="s">
        <v>58</v>
      </c>
      <c r="R915">
        <v>2016</v>
      </c>
      <c r="S915" t="str">
        <f>IF(AND(HR_Employees[[#This Row],[Attrition]]="YES",HR_Employees[[#This Row],[Exit_Date]]&lt;&gt;""),YEAR(HR_Employees[[#This Row],[Exit_Date]]),"")</f>
        <v/>
      </c>
    </row>
    <row r="916" spans="1:19">
      <c r="A916" t="s">
        <v>1374</v>
      </c>
      <c r="B916" t="s">
        <v>370</v>
      </c>
      <c r="C916">
        <v>46</v>
      </c>
      <c r="D916" t="s">
        <v>20</v>
      </c>
      <c r="E916" t="s">
        <v>21</v>
      </c>
      <c r="F916" t="s">
        <v>40</v>
      </c>
      <c r="G916" t="s">
        <v>23</v>
      </c>
      <c r="H916" s="2">
        <v>46097</v>
      </c>
      <c r="I916" s="2" t="str">
        <f>IFERROR(VLOOKUP(HR_Employees[[#This Row],[Employee_ID]],'[1]Synthetic Exit Data'!$A$2:$E$235,4,0)," NA")</f>
        <v>2026-06-10</v>
      </c>
      <c r="J916" t="s">
        <v>49</v>
      </c>
      <c r="K916">
        <v>3</v>
      </c>
      <c r="L916" s="3">
        <v>32922</v>
      </c>
      <c r="M916" t="s">
        <v>42</v>
      </c>
      <c r="N916" t="s">
        <v>43</v>
      </c>
      <c r="O916">
        <v>0.42</v>
      </c>
      <c r="P916" t="s">
        <v>35</v>
      </c>
      <c r="Q916" t="s">
        <v>28</v>
      </c>
      <c r="R916">
        <v>2026</v>
      </c>
      <c r="S916">
        <f>IF(AND(HR_Employees[[#This Row],[Attrition]]="YES",HR_Employees[[#This Row],[Exit_Date]]&lt;&gt;""),YEAR(HR_Employees[[#This Row],[Exit_Date]]),"")</f>
        <v>2026</v>
      </c>
    </row>
    <row r="917" spans="1:19">
      <c r="A917" t="s">
        <v>1375</v>
      </c>
      <c r="B917" t="s">
        <v>1376</v>
      </c>
      <c r="C917">
        <v>40</v>
      </c>
      <c r="D917" t="s">
        <v>61</v>
      </c>
      <c r="E917" t="s">
        <v>32</v>
      </c>
      <c r="F917" t="s">
        <v>22</v>
      </c>
      <c r="G917" t="s">
        <v>23</v>
      </c>
      <c r="H917" s="2">
        <v>46247</v>
      </c>
      <c r="I917" s="2" t="str">
        <f>IFERROR(VLOOKUP(HR_Employees[[#This Row],[Employee_ID]],'[1]Synthetic Exit Data'!$A$2:$E$235,4,0)," NA")</f>
        <v xml:space="preserve"> NA</v>
      </c>
      <c r="J917" t="s">
        <v>24</v>
      </c>
      <c r="K917">
        <v>4</v>
      </c>
      <c r="L917" s="3">
        <v>18922</v>
      </c>
      <c r="M917" t="s">
        <v>82</v>
      </c>
      <c r="N917" t="s">
        <v>43</v>
      </c>
      <c r="O917">
        <v>0.17</v>
      </c>
      <c r="P917" t="s">
        <v>35</v>
      </c>
      <c r="Q917" t="s">
        <v>62</v>
      </c>
      <c r="R917">
        <v>2026</v>
      </c>
      <c r="S917" t="str">
        <f>IF(AND(HR_Employees[[#This Row],[Attrition]]="YES",HR_Employees[[#This Row],[Exit_Date]]&lt;&gt;""),YEAR(HR_Employees[[#This Row],[Exit_Date]]),"")</f>
        <v/>
      </c>
    </row>
    <row r="918" spans="1:19">
      <c r="A918" t="s">
        <v>1377</v>
      </c>
      <c r="B918" t="s">
        <v>619</v>
      </c>
      <c r="C918">
        <v>28</v>
      </c>
      <c r="D918" t="s">
        <v>31</v>
      </c>
      <c r="E918" t="s">
        <v>32</v>
      </c>
      <c r="F918" t="s">
        <v>151</v>
      </c>
      <c r="G918" t="s">
        <v>48</v>
      </c>
      <c r="H918" s="2">
        <v>46035</v>
      </c>
      <c r="I918" s="2" t="str">
        <f>IFERROR(VLOOKUP(HR_Employees[[#This Row],[Employee_ID]],'[1]Synthetic Exit Data'!$A$2:$E$235,4,0)," NA")</f>
        <v xml:space="preserve"> NA</v>
      </c>
      <c r="J918" t="s">
        <v>24</v>
      </c>
      <c r="K918">
        <v>4</v>
      </c>
      <c r="L918" s="3">
        <v>23436</v>
      </c>
      <c r="M918" t="s">
        <v>82</v>
      </c>
      <c r="N918" t="s">
        <v>43</v>
      </c>
      <c r="O918">
        <v>0.75</v>
      </c>
      <c r="P918" t="s">
        <v>57</v>
      </c>
      <c r="Q918" t="s">
        <v>76</v>
      </c>
      <c r="R918">
        <v>2026</v>
      </c>
      <c r="S918" t="str">
        <f>IF(AND(HR_Employees[[#This Row],[Attrition]]="YES",HR_Employees[[#This Row],[Exit_Date]]&lt;&gt;""),YEAR(HR_Employees[[#This Row],[Exit_Date]]),"")</f>
        <v/>
      </c>
    </row>
    <row r="919" spans="1:19">
      <c r="A919" t="s">
        <v>1378</v>
      </c>
      <c r="B919" t="s">
        <v>571</v>
      </c>
      <c r="C919">
        <v>29</v>
      </c>
      <c r="D919" t="s">
        <v>31</v>
      </c>
      <c r="E919" t="s">
        <v>21</v>
      </c>
      <c r="F919" t="s">
        <v>73</v>
      </c>
      <c r="G919" t="s">
        <v>33</v>
      </c>
      <c r="H919" s="2">
        <v>45273</v>
      </c>
      <c r="I919" s="2" t="str">
        <f>IFERROR(VLOOKUP(HR_Employees[[#This Row],[Employee_ID]],'[1]Synthetic Exit Data'!$A$2:$E$235,4,0)," NA")</f>
        <v xml:space="preserve"> NA</v>
      </c>
      <c r="J919" t="s">
        <v>24</v>
      </c>
      <c r="K919">
        <v>2</v>
      </c>
      <c r="L919" s="3">
        <v>22847</v>
      </c>
      <c r="M919" t="s">
        <v>82</v>
      </c>
      <c r="N919" t="s">
        <v>56</v>
      </c>
      <c r="O919">
        <v>2.83</v>
      </c>
      <c r="P919" t="s">
        <v>27</v>
      </c>
      <c r="Q919" t="s">
        <v>62</v>
      </c>
      <c r="R919">
        <v>2023</v>
      </c>
      <c r="S919" t="str">
        <f>IF(AND(HR_Employees[[#This Row],[Attrition]]="YES",HR_Employees[[#This Row],[Exit_Date]]&lt;&gt;""),YEAR(HR_Employees[[#This Row],[Exit_Date]]),"")</f>
        <v/>
      </c>
    </row>
    <row r="920" spans="1:19">
      <c r="A920" t="s">
        <v>1379</v>
      </c>
      <c r="B920" t="s">
        <v>710</v>
      </c>
      <c r="C920">
        <v>60</v>
      </c>
      <c r="D920" t="s">
        <v>54</v>
      </c>
      <c r="E920" t="s">
        <v>32</v>
      </c>
      <c r="F920" t="s">
        <v>65</v>
      </c>
      <c r="G920" t="s">
        <v>33</v>
      </c>
      <c r="H920" s="2">
        <v>45547</v>
      </c>
      <c r="I920" s="2" t="str">
        <f>IFERROR(VLOOKUP(HR_Employees[[#This Row],[Employee_ID]],'[1]Synthetic Exit Data'!$A$2:$E$235,4,0)," NA")</f>
        <v>2024-09-18</v>
      </c>
      <c r="J920" t="s">
        <v>49</v>
      </c>
      <c r="K920">
        <v>4</v>
      </c>
      <c r="L920" s="3">
        <v>21026</v>
      </c>
      <c r="M920" t="s">
        <v>82</v>
      </c>
      <c r="N920" t="s">
        <v>56</v>
      </c>
      <c r="O920">
        <v>2.08</v>
      </c>
      <c r="P920" t="s">
        <v>57</v>
      </c>
      <c r="Q920" t="s">
        <v>58</v>
      </c>
      <c r="R920">
        <v>2024</v>
      </c>
      <c r="S920">
        <f>IF(AND(HR_Employees[[#This Row],[Attrition]]="YES",HR_Employees[[#This Row],[Exit_Date]]&lt;&gt;""),YEAR(HR_Employees[[#This Row],[Exit_Date]]),"")</f>
        <v>2024</v>
      </c>
    </row>
    <row r="921" spans="1:19">
      <c r="A921" t="s">
        <v>1380</v>
      </c>
      <c r="B921" t="s">
        <v>702</v>
      </c>
      <c r="C921">
        <v>26</v>
      </c>
      <c r="D921" t="s">
        <v>31</v>
      </c>
      <c r="E921" t="s">
        <v>32</v>
      </c>
      <c r="F921" t="s">
        <v>22</v>
      </c>
      <c r="G921" t="s">
        <v>23</v>
      </c>
      <c r="H921" s="2">
        <v>46216</v>
      </c>
      <c r="I921" s="2" t="str">
        <f>IFERROR(VLOOKUP(HR_Employees[[#This Row],[Employee_ID]],'[1]Synthetic Exit Data'!$A$2:$E$235,4,0)," NA")</f>
        <v xml:space="preserve"> NA</v>
      </c>
      <c r="J921" t="s">
        <v>24</v>
      </c>
      <c r="K921">
        <v>2</v>
      </c>
      <c r="L921" s="3">
        <v>26079</v>
      </c>
      <c r="M921" t="s">
        <v>82</v>
      </c>
      <c r="N921" t="s">
        <v>43</v>
      </c>
      <c r="O921">
        <v>0.25</v>
      </c>
      <c r="P921" t="s">
        <v>27</v>
      </c>
      <c r="Q921" t="s">
        <v>86</v>
      </c>
      <c r="R921">
        <v>2026</v>
      </c>
      <c r="S921" t="str">
        <f>IF(AND(HR_Employees[[#This Row],[Attrition]]="YES",HR_Employees[[#This Row],[Exit_Date]]&lt;&gt;""),YEAR(HR_Employees[[#This Row],[Exit_Date]]),"")</f>
        <v/>
      </c>
    </row>
    <row r="922" spans="1:19">
      <c r="A922" t="s">
        <v>1381</v>
      </c>
      <c r="B922" t="s">
        <v>175</v>
      </c>
      <c r="C922">
        <v>23</v>
      </c>
      <c r="D922" t="s">
        <v>39</v>
      </c>
      <c r="E922" t="s">
        <v>21</v>
      </c>
      <c r="F922" t="s">
        <v>73</v>
      </c>
      <c r="G922" t="s">
        <v>23</v>
      </c>
      <c r="H922" s="2">
        <v>45243</v>
      </c>
      <c r="I922" s="2" t="str">
        <f>IFERROR(VLOOKUP(HR_Employees[[#This Row],[Employee_ID]],'[1]Synthetic Exit Data'!$A$2:$E$235,4,0)," NA")</f>
        <v xml:space="preserve"> NA</v>
      </c>
      <c r="J922" t="s">
        <v>24</v>
      </c>
      <c r="K922">
        <v>2</v>
      </c>
      <c r="L922" s="3">
        <v>46073</v>
      </c>
      <c r="M922" t="s">
        <v>42</v>
      </c>
      <c r="N922" t="s">
        <v>56</v>
      </c>
      <c r="O922">
        <v>2.92</v>
      </c>
      <c r="P922" t="s">
        <v>27</v>
      </c>
      <c r="Q922" t="s">
        <v>44</v>
      </c>
      <c r="R922">
        <v>2023</v>
      </c>
      <c r="S922" t="str">
        <f>IF(AND(HR_Employees[[#This Row],[Attrition]]="YES",HR_Employees[[#This Row],[Exit_Date]]&lt;&gt;""),YEAR(HR_Employees[[#This Row],[Exit_Date]]),"")</f>
        <v/>
      </c>
    </row>
    <row r="923" spans="1:19">
      <c r="A923" t="s">
        <v>1382</v>
      </c>
      <c r="B923" t="s">
        <v>522</v>
      </c>
      <c r="C923">
        <v>29</v>
      </c>
      <c r="D923" t="s">
        <v>31</v>
      </c>
      <c r="E923" t="s">
        <v>21</v>
      </c>
      <c r="F923" t="s">
        <v>47</v>
      </c>
      <c r="G923" t="s">
        <v>48</v>
      </c>
      <c r="H923" s="2">
        <v>44872</v>
      </c>
      <c r="I923" s="2" t="str">
        <f>IFERROR(VLOOKUP(HR_Employees[[#This Row],[Employee_ID]],'[1]Synthetic Exit Data'!$A$2:$E$235,4,0)," NA")</f>
        <v>2022-12-07</v>
      </c>
      <c r="J923" t="s">
        <v>49</v>
      </c>
      <c r="K923">
        <v>4</v>
      </c>
      <c r="L923" s="3">
        <v>51618</v>
      </c>
      <c r="M923" t="s">
        <v>34</v>
      </c>
      <c r="N923" t="s">
        <v>50</v>
      </c>
      <c r="O923">
        <v>3.83</v>
      </c>
      <c r="P923" t="s">
        <v>27</v>
      </c>
      <c r="Q923" t="s">
        <v>58</v>
      </c>
      <c r="R923">
        <v>2022</v>
      </c>
      <c r="S923">
        <f>IF(AND(HR_Employees[[#This Row],[Attrition]]="YES",HR_Employees[[#This Row],[Exit_Date]]&lt;&gt;""),YEAR(HR_Employees[[#This Row],[Exit_Date]]),"")</f>
        <v>2022</v>
      </c>
    </row>
    <row r="924" spans="1:19">
      <c r="A924" t="s">
        <v>1383</v>
      </c>
      <c r="B924" t="s">
        <v>412</v>
      </c>
      <c r="C924">
        <v>30</v>
      </c>
      <c r="D924" t="s">
        <v>31</v>
      </c>
      <c r="E924" t="s">
        <v>21</v>
      </c>
      <c r="F924" t="s">
        <v>47</v>
      </c>
      <c r="G924" t="s">
        <v>33</v>
      </c>
      <c r="H924" s="2">
        <v>46216</v>
      </c>
      <c r="I924" s="2" t="str">
        <f>IFERROR(VLOOKUP(HR_Employees[[#This Row],[Employee_ID]],'[1]Synthetic Exit Data'!$A$2:$E$235,4,0)," NA")</f>
        <v xml:space="preserve"> NA</v>
      </c>
      <c r="J924" t="s">
        <v>24</v>
      </c>
      <c r="K924">
        <v>3</v>
      </c>
      <c r="L924" s="3">
        <v>62752</v>
      </c>
      <c r="M924" t="s">
        <v>34</v>
      </c>
      <c r="N924" t="s">
        <v>43</v>
      </c>
      <c r="O924">
        <v>0.25</v>
      </c>
      <c r="P924" t="s">
        <v>125</v>
      </c>
      <c r="Q924" t="s">
        <v>86</v>
      </c>
      <c r="R924">
        <v>2026</v>
      </c>
      <c r="S924" t="str">
        <f>IF(AND(HR_Employees[[#This Row],[Attrition]]="YES",HR_Employees[[#This Row],[Exit_Date]]&lt;&gt;""),YEAR(HR_Employees[[#This Row],[Exit_Date]]),"")</f>
        <v/>
      </c>
    </row>
    <row r="925" spans="1:19">
      <c r="A925" t="s">
        <v>1384</v>
      </c>
      <c r="B925" t="s">
        <v>706</v>
      </c>
      <c r="C925">
        <v>29</v>
      </c>
      <c r="D925" t="s">
        <v>31</v>
      </c>
      <c r="E925" t="s">
        <v>21</v>
      </c>
      <c r="F925" t="s">
        <v>73</v>
      </c>
      <c r="G925" t="s">
        <v>33</v>
      </c>
      <c r="H925" s="2">
        <v>45701</v>
      </c>
      <c r="I925" s="2" t="str">
        <f>IFERROR(VLOOKUP(HR_Employees[[#This Row],[Employee_ID]],'[1]Synthetic Exit Data'!$A$2:$E$235,4,0)," NA")</f>
        <v xml:space="preserve"> NA</v>
      </c>
      <c r="J925" t="s">
        <v>24</v>
      </c>
      <c r="K925">
        <v>2</v>
      </c>
      <c r="L925" s="3">
        <v>46556</v>
      </c>
      <c r="M925" t="s">
        <v>42</v>
      </c>
      <c r="N925" t="s">
        <v>56</v>
      </c>
      <c r="O925">
        <v>1.67</v>
      </c>
      <c r="P925" t="s">
        <v>51</v>
      </c>
      <c r="Q925" t="s">
        <v>86</v>
      </c>
      <c r="R925">
        <v>2025</v>
      </c>
      <c r="S925" t="str">
        <f>IF(AND(HR_Employees[[#This Row],[Attrition]]="YES",HR_Employees[[#This Row],[Exit_Date]]&lt;&gt;""),YEAR(HR_Employees[[#This Row],[Exit_Date]]),"")</f>
        <v/>
      </c>
    </row>
    <row r="926" spans="1:19">
      <c r="A926" t="s">
        <v>1385</v>
      </c>
      <c r="B926" t="s">
        <v>242</v>
      </c>
      <c r="C926">
        <v>48</v>
      </c>
      <c r="D926" t="s">
        <v>20</v>
      </c>
      <c r="E926" t="s">
        <v>21</v>
      </c>
      <c r="F926" t="s">
        <v>40</v>
      </c>
      <c r="G926" t="s">
        <v>23</v>
      </c>
      <c r="H926" s="2">
        <v>45324</v>
      </c>
      <c r="I926" s="2" t="str">
        <f>IFERROR(VLOOKUP(HR_Employees[[#This Row],[Employee_ID]],'[1]Synthetic Exit Data'!$A$2:$E$235,4,0)," NA")</f>
        <v>2024-10-31</v>
      </c>
      <c r="J926" t="s">
        <v>49</v>
      </c>
      <c r="K926">
        <v>4</v>
      </c>
      <c r="L926" s="3">
        <v>34053</v>
      </c>
      <c r="M926" t="s">
        <v>42</v>
      </c>
      <c r="N926" t="s">
        <v>56</v>
      </c>
      <c r="O926">
        <v>2.67</v>
      </c>
      <c r="P926" t="s">
        <v>125</v>
      </c>
      <c r="Q926" t="s">
        <v>92</v>
      </c>
      <c r="R926">
        <v>2024</v>
      </c>
      <c r="S926">
        <f>IF(AND(HR_Employees[[#This Row],[Attrition]]="YES",HR_Employees[[#This Row],[Exit_Date]]&lt;&gt;""),YEAR(HR_Employees[[#This Row],[Exit_Date]]),"")</f>
        <v>2024</v>
      </c>
    </row>
    <row r="927" spans="1:19">
      <c r="A927" t="s">
        <v>1386</v>
      </c>
      <c r="B927" t="s">
        <v>192</v>
      </c>
      <c r="C927">
        <v>22</v>
      </c>
      <c r="D927" t="s">
        <v>39</v>
      </c>
      <c r="E927" t="s">
        <v>32</v>
      </c>
      <c r="F927" t="s">
        <v>109</v>
      </c>
      <c r="G927" t="s">
        <v>41</v>
      </c>
      <c r="H927" s="2">
        <v>46216</v>
      </c>
      <c r="I927" s="2" t="str">
        <f>IFERROR(VLOOKUP(HR_Employees[[#This Row],[Employee_ID]],'[1]Synthetic Exit Data'!$A$2:$E$235,4,0)," NA")</f>
        <v xml:space="preserve"> NA</v>
      </c>
      <c r="J927" t="s">
        <v>24</v>
      </c>
      <c r="K927">
        <v>4</v>
      </c>
      <c r="L927" s="3">
        <v>61754</v>
      </c>
      <c r="M927" t="s">
        <v>34</v>
      </c>
      <c r="N927" t="s">
        <v>43</v>
      </c>
      <c r="O927">
        <v>0.25</v>
      </c>
      <c r="P927" t="s">
        <v>35</v>
      </c>
      <c r="Q927" t="s">
        <v>44</v>
      </c>
      <c r="R927">
        <v>2026</v>
      </c>
      <c r="S927" t="str">
        <f>IF(AND(HR_Employees[[#This Row],[Attrition]]="YES",HR_Employees[[#This Row],[Exit_Date]]&lt;&gt;""),YEAR(HR_Employees[[#This Row],[Exit_Date]]),"")</f>
        <v/>
      </c>
    </row>
    <row r="928" spans="1:19">
      <c r="A928" t="s">
        <v>1387</v>
      </c>
      <c r="B928" t="s">
        <v>1038</v>
      </c>
      <c r="C928">
        <v>37</v>
      </c>
      <c r="D928" t="s">
        <v>61</v>
      </c>
      <c r="E928" t="s">
        <v>32</v>
      </c>
      <c r="F928" t="s">
        <v>40</v>
      </c>
      <c r="G928" t="s">
        <v>33</v>
      </c>
      <c r="H928" s="2">
        <v>41986</v>
      </c>
      <c r="I928" s="2" t="str">
        <f>IFERROR(VLOOKUP(HR_Employees[[#This Row],[Employee_ID]],'[1]Synthetic Exit Data'!$A$2:$E$235,4,0)," NA")</f>
        <v xml:space="preserve"> NA</v>
      </c>
      <c r="J928" t="s">
        <v>24</v>
      </c>
      <c r="K928">
        <v>3</v>
      </c>
      <c r="L928" s="3">
        <v>30123</v>
      </c>
      <c r="M928" t="s">
        <v>42</v>
      </c>
      <c r="N928" t="s">
        <v>26</v>
      </c>
      <c r="O928">
        <v>11.83</v>
      </c>
      <c r="P928" t="s">
        <v>57</v>
      </c>
      <c r="Q928" t="s">
        <v>76</v>
      </c>
      <c r="R928">
        <v>2014</v>
      </c>
      <c r="S928" t="str">
        <f>IF(AND(HR_Employees[[#This Row],[Attrition]]="YES",HR_Employees[[#This Row],[Exit_Date]]&lt;&gt;""),YEAR(HR_Employees[[#This Row],[Exit_Date]]),"")</f>
        <v/>
      </c>
    </row>
    <row r="929" spans="1:19">
      <c r="A929" t="s">
        <v>1388</v>
      </c>
      <c r="B929" t="s">
        <v>238</v>
      </c>
      <c r="C929">
        <v>21</v>
      </c>
      <c r="D929" t="s">
        <v>39</v>
      </c>
      <c r="E929" t="s">
        <v>21</v>
      </c>
      <c r="F929" t="s">
        <v>40</v>
      </c>
      <c r="G929" t="s">
        <v>48</v>
      </c>
      <c r="H929" s="2">
        <v>43478</v>
      </c>
      <c r="I929" s="2" t="str">
        <f>IFERROR(VLOOKUP(HR_Employees[[#This Row],[Employee_ID]],'[1]Synthetic Exit Data'!$A$2:$E$235,4,0)," NA")</f>
        <v xml:space="preserve"> NA</v>
      </c>
      <c r="J929" t="s">
        <v>24</v>
      </c>
      <c r="K929">
        <v>4</v>
      </c>
      <c r="L929" s="3">
        <v>159400</v>
      </c>
      <c r="M929" t="s">
        <v>25</v>
      </c>
      <c r="N929" t="s">
        <v>79</v>
      </c>
      <c r="O929">
        <v>7.75</v>
      </c>
      <c r="P929" t="s">
        <v>27</v>
      </c>
      <c r="Q929" t="s">
        <v>36</v>
      </c>
      <c r="R929">
        <v>2019</v>
      </c>
      <c r="S929" t="str">
        <f>IF(AND(HR_Employees[[#This Row],[Attrition]]="YES",HR_Employees[[#This Row],[Exit_Date]]&lt;&gt;""),YEAR(HR_Employees[[#This Row],[Exit_Date]]),"")</f>
        <v/>
      </c>
    </row>
    <row r="930" spans="1:19">
      <c r="A930" t="s">
        <v>1389</v>
      </c>
      <c r="B930" t="s">
        <v>1312</v>
      </c>
      <c r="C930">
        <v>25</v>
      </c>
      <c r="D930" t="s">
        <v>39</v>
      </c>
      <c r="E930" t="s">
        <v>32</v>
      </c>
      <c r="F930" t="s">
        <v>47</v>
      </c>
      <c r="G930" t="s">
        <v>33</v>
      </c>
      <c r="H930" s="2">
        <v>45978</v>
      </c>
      <c r="I930" s="2" t="str">
        <f>IFERROR(VLOOKUP(HR_Employees[[#This Row],[Employee_ID]],'[1]Synthetic Exit Data'!$A$2:$E$235,4,0)," NA")</f>
        <v>2025-11-28</v>
      </c>
      <c r="J930" t="s">
        <v>49</v>
      </c>
      <c r="K930">
        <v>4</v>
      </c>
      <c r="L930" s="3">
        <v>23959</v>
      </c>
      <c r="M930" t="s">
        <v>82</v>
      </c>
      <c r="N930" t="s">
        <v>43</v>
      </c>
      <c r="O930">
        <v>0.83</v>
      </c>
      <c r="P930" t="s">
        <v>125</v>
      </c>
      <c r="Q930" t="s">
        <v>76</v>
      </c>
      <c r="R930">
        <v>2025</v>
      </c>
      <c r="S930">
        <f>IF(AND(HR_Employees[[#This Row],[Attrition]]="YES",HR_Employees[[#This Row],[Exit_Date]]&lt;&gt;""),YEAR(HR_Employees[[#This Row],[Exit_Date]]),"")</f>
        <v>2025</v>
      </c>
    </row>
    <row r="931" spans="1:19">
      <c r="A931" t="s">
        <v>1390</v>
      </c>
      <c r="B931" t="s">
        <v>340</v>
      </c>
      <c r="C931">
        <v>22</v>
      </c>
      <c r="D931" t="s">
        <v>39</v>
      </c>
      <c r="E931" t="s">
        <v>32</v>
      </c>
      <c r="F931" t="s">
        <v>40</v>
      </c>
      <c r="G931" t="s">
        <v>48</v>
      </c>
      <c r="H931" s="2">
        <v>42992</v>
      </c>
      <c r="I931" s="2" t="str">
        <f>IFERROR(VLOOKUP(HR_Employees[[#This Row],[Employee_ID]],'[1]Synthetic Exit Data'!$A$2:$E$235,4,0)," NA")</f>
        <v>2018-02-19</v>
      </c>
      <c r="J931" t="s">
        <v>49</v>
      </c>
      <c r="K931">
        <v>4</v>
      </c>
      <c r="L931" s="3">
        <v>24648</v>
      </c>
      <c r="M931" t="s">
        <v>82</v>
      </c>
      <c r="N931" t="s">
        <v>79</v>
      </c>
      <c r="O931">
        <v>8.92</v>
      </c>
      <c r="P931" t="s">
        <v>27</v>
      </c>
      <c r="Q931" t="s">
        <v>36</v>
      </c>
      <c r="R931">
        <v>2017</v>
      </c>
      <c r="S931">
        <f>IF(AND(HR_Employees[[#This Row],[Attrition]]="YES",HR_Employees[[#This Row],[Exit_Date]]&lt;&gt;""),YEAR(HR_Employees[[#This Row],[Exit_Date]]),"")</f>
        <v>2018</v>
      </c>
    </row>
    <row r="932" spans="1:19">
      <c r="A932" t="s">
        <v>1391</v>
      </c>
      <c r="B932" t="s">
        <v>630</v>
      </c>
      <c r="C932">
        <v>59</v>
      </c>
      <c r="D932" t="s">
        <v>54</v>
      </c>
      <c r="E932" t="s">
        <v>21</v>
      </c>
      <c r="F932" t="s">
        <v>22</v>
      </c>
      <c r="G932" t="s">
        <v>23</v>
      </c>
      <c r="H932" s="2">
        <v>45335</v>
      </c>
      <c r="I932" s="2" t="str">
        <f>IFERROR(VLOOKUP(HR_Employees[[#This Row],[Employee_ID]],'[1]Synthetic Exit Data'!$A$2:$E$235,4,0)," NA")</f>
        <v xml:space="preserve"> NA</v>
      </c>
      <c r="J932" t="s">
        <v>24</v>
      </c>
      <c r="K932">
        <v>2</v>
      </c>
      <c r="L932" s="3">
        <v>93727</v>
      </c>
      <c r="M932" t="s">
        <v>66</v>
      </c>
      <c r="N932" t="s">
        <v>56</v>
      </c>
      <c r="O932">
        <v>2.67</v>
      </c>
      <c r="P932" t="s">
        <v>35</v>
      </c>
      <c r="Q932" t="s">
        <v>92</v>
      </c>
      <c r="R932">
        <v>2024</v>
      </c>
      <c r="S932" t="str">
        <f>IF(AND(HR_Employees[[#This Row],[Attrition]]="YES",HR_Employees[[#This Row],[Exit_Date]]&lt;&gt;""),YEAR(HR_Employees[[#This Row],[Exit_Date]]),"")</f>
        <v/>
      </c>
    </row>
    <row r="933" spans="1:19">
      <c r="A933" t="s">
        <v>1392</v>
      </c>
      <c r="B933" t="s">
        <v>383</v>
      </c>
      <c r="C933">
        <v>49</v>
      </c>
      <c r="D933" t="s">
        <v>20</v>
      </c>
      <c r="E933" t="s">
        <v>21</v>
      </c>
      <c r="F933" t="s">
        <v>40</v>
      </c>
      <c r="G933" t="s">
        <v>23</v>
      </c>
      <c r="H933" s="2">
        <v>41742</v>
      </c>
      <c r="I933" s="2" t="str">
        <f>IFERROR(VLOOKUP(HR_Employees[[#This Row],[Employee_ID]],'[1]Synthetic Exit Data'!$A$2:$E$235,4,0)," NA")</f>
        <v xml:space="preserve"> NA</v>
      </c>
      <c r="J933" t="s">
        <v>24</v>
      </c>
      <c r="K933">
        <v>1</v>
      </c>
      <c r="L933" s="3">
        <v>36754</v>
      </c>
      <c r="M933" t="s">
        <v>42</v>
      </c>
      <c r="N933" t="s">
        <v>26</v>
      </c>
      <c r="O933">
        <v>12.5</v>
      </c>
      <c r="P933" t="s">
        <v>51</v>
      </c>
      <c r="Q933" t="s">
        <v>92</v>
      </c>
      <c r="R933">
        <v>2014</v>
      </c>
      <c r="S933" t="str">
        <f>IF(AND(HR_Employees[[#This Row],[Attrition]]="YES",HR_Employees[[#This Row],[Exit_Date]]&lt;&gt;""),YEAR(HR_Employees[[#This Row],[Exit_Date]]),"")</f>
        <v/>
      </c>
    </row>
    <row r="934" spans="1:19">
      <c r="A934" t="s">
        <v>1393</v>
      </c>
      <c r="B934" t="s">
        <v>700</v>
      </c>
      <c r="C934">
        <v>27</v>
      </c>
      <c r="D934" t="s">
        <v>31</v>
      </c>
      <c r="E934" t="s">
        <v>32</v>
      </c>
      <c r="F934" t="s">
        <v>47</v>
      </c>
      <c r="G934" t="s">
        <v>33</v>
      </c>
      <c r="H934" s="2">
        <v>44543</v>
      </c>
      <c r="I934" s="2" t="str">
        <f>IFERROR(VLOOKUP(HR_Employees[[#This Row],[Employee_ID]],'[1]Synthetic Exit Data'!$A$2:$E$235,4,0)," NA")</f>
        <v xml:space="preserve"> NA</v>
      </c>
      <c r="J934" t="s">
        <v>24</v>
      </c>
      <c r="K934">
        <v>4</v>
      </c>
      <c r="L934" s="3">
        <v>26402</v>
      </c>
      <c r="M934" t="s">
        <v>82</v>
      </c>
      <c r="N934" t="s">
        <v>50</v>
      </c>
      <c r="O934">
        <v>4.83</v>
      </c>
      <c r="P934" t="s">
        <v>51</v>
      </c>
      <c r="Q934" t="s">
        <v>44</v>
      </c>
      <c r="R934">
        <v>2021</v>
      </c>
      <c r="S934" t="str">
        <f>IF(AND(HR_Employees[[#This Row],[Attrition]]="YES",HR_Employees[[#This Row],[Exit_Date]]&lt;&gt;""),YEAR(HR_Employees[[#This Row],[Exit_Date]]),"")</f>
        <v/>
      </c>
    </row>
    <row r="935" spans="1:19">
      <c r="A935" t="s">
        <v>1394</v>
      </c>
      <c r="B935" t="s">
        <v>1273</v>
      </c>
      <c r="C935">
        <v>31</v>
      </c>
      <c r="D935" t="s">
        <v>31</v>
      </c>
      <c r="E935" t="s">
        <v>21</v>
      </c>
      <c r="F935" t="s">
        <v>47</v>
      </c>
      <c r="G935" t="s">
        <v>33</v>
      </c>
      <c r="H935" s="2">
        <v>45851</v>
      </c>
      <c r="I935" s="2" t="str">
        <f>IFERROR(VLOOKUP(HR_Employees[[#This Row],[Employee_ID]],'[1]Synthetic Exit Data'!$A$2:$E$235,4,0)," NA")</f>
        <v xml:space="preserve"> NA</v>
      </c>
      <c r="J935" t="s">
        <v>24</v>
      </c>
      <c r="K935">
        <v>3</v>
      </c>
      <c r="L935" s="3">
        <v>60424</v>
      </c>
      <c r="M935" t="s">
        <v>34</v>
      </c>
      <c r="N935" t="s">
        <v>56</v>
      </c>
      <c r="O935">
        <v>1.25</v>
      </c>
      <c r="P935" t="s">
        <v>27</v>
      </c>
      <c r="Q935" t="s">
        <v>36</v>
      </c>
      <c r="R935">
        <v>2025</v>
      </c>
      <c r="S935" t="str">
        <f>IF(AND(HR_Employees[[#This Row],[Attrition]]="YES",HR_Employees[[#This Row],[Exit_Date]]&lt;&gt;""),YEAR(HR_Employees[[#This Row],[Exit_Date]]),"")</f>
        <v/>
      </c>
    </row>
    <row r="936" spans="1:19">
      <c r="A936" t="s">
        <v>1395</v>
      </c>
      <c r="B936" t="s">
        <v>1040</v>
      </c>
      <c r="C936">
        <v>39</v>
      </c>
      <c r="D936" t="s">
        <v>61</v>
      </c>
      <c r="E936" t="s">
        <v>32</v>
      </c>
      <c r="F936" t="s">
        <v>22</v>
      </c>
      <c r="G936" t="s">
        <v>23</v>
      </c>
      <c r="H936" s="2">
        <v>43417</v>
      </c>
      <c r="I936" s="2" t="str">
        <f>IFERROR(VLOOKUP(HR_Employees[[#This Row],[Employee_ID]],'[1]Synthetic Exit Data'!$A$2:$E$235,4,0)," NA")</f>
        <v xml:space="preserve"> NA</v>
      </c>
      <c r="J936" t="s">
        <v>24</v>
      </c>
      <c r="K936">
        <v>1</v>
      </c>
      <c r="L936" s="3">
        <v>18662</v>
      </c>
      <c r="M936" t="s">
        <v>82</v>
      </c>
      <c r="N936" t="s">
        <v>79</v>
      </c>
      <c r="O936">
        <v>7.92</v>
      </c>
      <c r="P936" t="s">
        <v>51</v>
      </c>
      <c r="Q936" t="s">
        <v>44</v>
      </c>
      <c r="R936">
        <v>2018</v>
      </c>
      <c r="S936" t="str">
        <f>IF(AND(HR_Employees[[#This Row],[Attrition]]="YES",HR_Employees[[#This Row],[Exit_Date]]&lt;&gt;""),YEAR(HR_Employees[[#This Row],[Exit_Date]]),"")</f>
        <v/>
      </c>
    </row>
    <row r="937" spans="1:19">
      <c r="A937" t="s">
        <v>1396</v>
      </c>
      <c r="B937" t="s">
        <v>1143</v>
      </c>
      <c r="C937">
        <v>58</v>
      </c>
      <c r="D937" t="s">
        <v>54</v>
      </c>
      <c r="E937" t="s">
        <v>32</v>
      </c>
      <c r="F937" t="s">
        <v>55</v>
      </c>
      <c r="G937" t="s">
        <v>114</v>
      </c>
      <c r="H937" s="2">
        <v>44664</v>
      </c>
      <c r="I937" s="2" t="str">
        <f>IFERROR(VLOOKUP(HR_Employees[[#This Row],[Employee_ID]],'[1]Synthetic Exit Data'!$A$2:$E$235,4,0)," NA")</f>
        <v xml:space="preserve"> NA</v>
      </c>
      <c r="J937" t="s">
        <v>24</v>
      </c>
      <c r="K937">
        <v>4</v>
      </c>
      <c r="L937" s="3">
        <v>34409</v>
      </c>
      <c r="M937" t="s">
        <v>42</v>
      </c>
      <c r="N937" t="s">
        <v>50</v>
      </c>
      <c r="O937">
        <v>4.5</v>
      </c>
      <c r="P937" t="s">
        <v>51</v>
      </c>
      <c r="Q937" t="s">
        <v>58</v>
      </c>
      <c r="R937">
        <v>2022</v>
      </c>
      <c r="S937" t="str">
        <f>IF(AND(HR_Employees[[#This Row],[Attrition]]="YES",HR_Employees[[#This Row],[Exit_Date]]&lt;&gt;""),YEAR(HR_Employees[[#This Row],[Exit_Date]]),"")</f>
        <v/>
      </c>
    </row>
    <row r="938" spans="1:19">
      <c r="A938" t="s">
        <v>1397</v>
      </c>
      <c r="B938" t="s">
        <v>432</v>
      </c>
      <c r="C938">
        <v>32</v>
      </c>
      <c r="D938" t="s">
        <v>31</v>
      </c>
      <c r="E938" t="s">
        <v>32</v>
      </c>
      <c r="F938" t="s">
        <v>40</v>
      </c>
      <c r="G938" t="s">
        <v>23</v>
      </c>
      <c r="H938" s="2">
        <v>45670</v>
      </c>
      <c r="I938" s="2" t="str">
        <f>IFERROR(VLOOKUP(HR_Employees[[#This Row],[Employee_ID]],'[1]Synthetic Exit Data'!$A$2:$E$235,4,0)," NA")</f>
        <v xml:space="preserve"> NA</v>
      </c>
      <c r="J938" t="s">
        <v>24</v>
      </c>
      <c r="K938">
        <v>4</v>
      </c>
      <c r="L938" s="3">
        <v>51011</v>
      </c>
      <c r="M938" t="s">
        <v>34</v>
      </c>
      <c r="N938" t="s">
        <v>56</v>
      </c>
      <c r="O938">
        <v>1.75</v>
      </c>
      <c r="P938" t="s">
        <v>57</v>
      </c>
      <c r="Q938" t="s">
        <v>86</v>
      </c>
      <c r="R938">
        <v>2025</v>
      </c>
      <c r="S938" t="str">
        <f>IF(AND(HR_Employees[[#This Row],[Attrition]]="YES",HR_Employees[[#This Row],[Exit_Date]]&lt;&gt;""),YEAR(HR_Employees[[#This Row],[Exit_Date]]),"")</f>
        <v/>
      </c>
    </row>
    <row r="939" spans="1:19">
      <c r="A939" t="s">
        <v>1398</v>
      </c>
      <c r="B939" t="s">
        <v>127</v>
      </c>
      <c r="C939">
        <v>29</v>
      </c>
      <c r="D939" t="s">
        <v>31</v>
      </c>
      <c r="E939" t="s">
        <v>32</v>
      </c>
      <c r="F939" t="s">
        <v>40</v>
      </c>
      <c r="G939" t="s">
        <v>23</v>
      </c>
      <c r="H939" s="2">
        <v>45347</v>
      </c>
      <c r="I939" s="2" t="str">
        <f>IFERROR(VLOOKUP(HR_Employees[[#This Row],[Employee_ID]],'[1]Synthetic Exit Data'!$A$2:$E$235,4,0)," NA")</f>
        <v>2024-05-08</v>
      </c>
      <c r="J939" t="s">
        <v>49</v>
      </c>
      <c r="K939">
        <v>3</v>
      </c>
      <c r="L939" s="3">
        <v>39738</v>
      </c>
      <c r="M939" t="s">
        <v>42</v>
      </c>
      <c r="N939" t="s">
        <v>56</v>
      </c>
      <c r="O939">
        <v>2.5</v>
      </c>
      <c r="P939" t="s">
        <v>51</v>
      </c>
      <c r="Q939" t="s">
        <v>76</v>
      </c>
      <c r="R939">
        <v>2024</v>
      </c>
      <c r="S939">
        <f>IF(AND(HR_Employees[[#This Row],[Attrition]]="YES",HR_Employees[[#This Row],[Exit_Date]]&lt;&gt;""),YEAR(HR_Employees[[#This Row],[Exit_Date]]),"")</f>
        <v>2024</v>
      </c>
    </row>
    <row r="940" spans="1:19">
      <c r="A940" t="s">
        <v>1399</v>
      </c>
      <c r="B940" t="s">
        <v>1400</v>
      </c>
      <c r="C940">
        <v>27</v>
      </c>
      <c r="D940" t="s">
        <v>31</v>
      </c>
      <c r="E940" t="s">
        <v>21</v>
      </c>
      <c r="F940" t="s">
        <v>22</v>
      </c>
      <c r="G940" t="s">
        <v>48</v>
      </c>
      <c r="H940" s="2">
        <v>43598</v>
      </c>
      <c r="I940" s="2" t="str">
        <f>IFERROR(VLOOKUP(HR_Employees[[#This Row],[Employee_ID]],'[1]Synthetic Exit Data'!$A$2:$E$235,4,0)," NA")</f>
        <v xml:space="preserve"> NA</v>
      </c>
      <c r="J940" t="s">
        <v>24</v>
      </c>
      <c r="K940">
        <v>1</v>
      </c>
      <c r="L940" s="3">
        <v>55207</v>
      </c>
      <c r="M940" t="s">
        <v>34</v>
      </c>
      <c r="N940" t="s">
        <v>79</v>
      </c>
      <c r="O940">
        <v>7.42</v>
      </c>
      <c r="P940" t="s">
        <v>51</v>
      </c>
      <c r="Q940" t="s">
        <v>58</v>
      </c>
      <c r="R940">
        <v>2019</v>
      </c>
      <c r="S940" t="str">
        <f>IF(AND(HR_Employees[[#This Row],[Attrition]]="YES",HR_Employees[[#This Row],[Exit_Date]]&lt;&gt;""),YEAR(HR_Employees[[#This Row],[Exit_Date]]),"")</f>
        <v/>
      </c>
    </row>
    <row r="941" spans="1:19">
      <c r="A941" t="s">
        <v>1401</v>
      </c>
      <c r="B941" t="s">
        <v>278</v>
      </c>
      <c r="C941">
        <v>30</v>
      </c>
      <c r="D941" t="s">
        <v>31</v>
      </c>
      <c r="E941" t="s">
        <v>32</v>
      </c>
      <c r="F941" t="s">
        <v>47</v>
      </c>
      <c r="G941" t="s">
        <v>33</v>
      </c>
      <c r="H941" s="2">
        <v>41256</v>
      </c>
      <c r="I941" s="2" t="str">
        <f>IFERROR(VLOOKUP(HR_Employees[[#This Row],[Employee_ID]],'[1]Synthetic Exit Data'!$A$2:$E$235,4,0)," NA")</f>
        <v xml:space="preserve"> NA</v>
      </c>
      <c r="J941" t="s">
        <v>24</v>
      </c>
      <c r="K941">
        <v>1</v>
      </c>
      <c r="L941" s="3">
        <v>74262</v>
      </c>
      <c r="M941" t="s">
        <v>34</v>
      </c>
      <c r="N941" t="s">
        <v>26</v>
      </c>
      <c r="O941">
        <v>13.83</v>
      </c>
      <c r="P941" t="s">
        <v>51</v>
      </c>
      <c r="Q941" t="s">
        <v>28</v>
      </c>
      <c r="R941">
        <v>2012</v>
      </c>
      <c r="S941" t="str">
        <f>IF(AND(HR_Employees[[#This Row],[Attrition]]="YES",HR_Employees[[#This Row],[Exit_Date]]&lt;&gt;""),YEAR(HR_Employees[[#This Row],[Exit_Date]]),"")</f>
        <v/>
      </c>
    </row>
    <row r="942" spans="1:19">
      <c r="A942" t="s">
        <v>1402</v>
      </c>
      <c r="B942" t="s">
        <v>710</v>
      </c>
      <c r="C942">
        <v>24</v>
      </c>
      <c r="D942" t="s">
        <v>39</v>
      </c>
      <c r="E942" t="s">
        <v>32</v>
      </c>
      <c r="F942" t="s">
        <v>22</v>
      </c>
      <c r="G942" t="s">
        <v>23</v>
      </c>
      <c r="H942" s="2">
        <v>42321</v>
      </c>
      <c r="I942" s="2" t="str">
        <f>IFERROR(VLOOKUP(HR_Employees[[#This Row],[Employee_ID]],'[1]Synthetic Exit Data'!$A$2:$E$235,4,0)," NA")</f>
        <v xml:space="preserve"> NA</v>
      </c>
      <c r="J942" t="s">
        <v>24</v>
      </c>
      <c r="K942">
        <v>4</v>
      </c>
      <c r="L942" s="3">
        <v>75702</v>
      </c>
      <c r="M942" t="s">
        <v>66</v>
      </c>
      <c r="N942" t="s">
        <v>26</v>
      </c>
      <c r="O942">
        <v>10.92</v>
      </c>
      <c r="P942" t="s">
        <v>27</v>
      </c>
      <c r="Q942" t="s">
        <v>76</v>
      </c>
      <c r="R942">
        <v>2015</v>
      </c>
      <c r="S942" t="str">
        <f>IF(AND(HR_Employees[[#This Row],[Attrition]]="YES",HR_Employees[[#This Row],[Exit_Date]]&lt;&gt;""),YEAR(HR_Employees[[#This Row],[Exit_Date]]),"")</f>
        <v/>
      </c>
    </row>
    <row r="943" spans="1:19">
      <c r="A943" t="s">
        <v>1403</v>
      </c>
      <c r="B943" t="s">
        <v>1040</v>
      </c>
      <c r="C943">
        <v>23</v>
      </c>
      <c r="D943" t="s">
        <v>39</v>
      </c>
      <c r="E943" t="s">
        <v>21</v>
      </c>
      <c r="F943" t="s">
        <v>22</v>
      </c>
      <c r="G943" t="s">
        <v>48</v>
      </c>
      <c r="H943" s="2">
        <v>45029</v>
      </c>
      <c r="I943" s="2" t="str">
        <f>IFERROR(VLOOKUP(HR_Employees[[#This Row],[Employee_ID]],'[1]Synthetic Exit Data'!$A$2:$E$235,4,0)," NA")</f>
        <v xml:space="preserve"> NA</v>
      </c>
      <c r="J943" t="s">
        <v>24</v>
      </c>
      <c r="K943">
        <v>2</v>
      </c>
      <c r="L943" s="3">
        <v>84844</v>
      </c>
      <c r="M943" t="s">
        <v>66</v>
      </c>
      <c r="N943" t="s">
        <v>50</v>
      </c>
      <c r="O943">
        <v>3.5</v>
      </c>
      <c r="P943" t="s">
        <v>27</v>
      </c>
      <c r="Q943" t="s">
        <v>44</v>
      </c>
      <c r="R943">
        <v>2023</v>
      </c>
      <c r="S943" t="str">
        <f>IF(AND(HR_Employees[[#This Row],[Attrition]]="YES",HR_Employees[[#This Row],[Exit_Date]]&lt;&gt;""),YEAR(HR_Employees[[#This Row],[Exit_Date]]),"")</f>
        <v/>
      </c>
    </row>
    <row r="944" spans="1:19">
      <c r="A944" t="s">
        <v>1404</v>
      </c>
      <c r="B944" t="s">
        <v>967</v>
      </c>
      <c r="C944">
        <v>27</v>
      </c>
      <c r="D944" t="s">
        <v>31</v>
      </c>
      <c r="E944" t="s">
        <v>32</v>
      </c>
      <c r="F944" t="s">
        <v>47</v>
      </c>
      <c r="G944" t="s">
        <v>33</v>
      </c>
      <c r="H944" s="2">
        <v>42717</v>
      </c>
      <c r="I944" s="2" t="str">
        <f>IFERROR(VLOOKUP(HR_Employees[[#This Row],[Employee_ID]],'[1]Synthetic Exit Data'!$A$2:$E$235,4,0)," NA")</f>
        <v xml:space="preserve"> NA</v>
      </c>
      <c r="J944" t="s">
        <v>24</v>
      </c>
      <c r="K944">
        <v>5</v>
      </c>
      <c r="L944" s="3">
        <v>39841</v>
      </c>
      <c r="M944" t="s">
        <v>42</v>
      </c>
      <c r="N944" t="s">
        <v>79</v>
      </c>
      <c r="O944">
        <v>9.83</v>
      </c>
      <c r="P944" t="s">
        <v>27</v>
      </c>
      <c r="Q944" t="s">
        <v>86</v>
      </c>
      <c r="R944">
        <v>2016</v>
      </c>
      <c r="S944" t="str">
        <f>IF(AND(HR_Employees[[#This Row],[Attrition]]="YES",HR_Employees[[#This Row],[Exit_Date]]&lt;&gt;""),YEAR(HR_Employees[[#This Row],[Exit_Date]]),"")</f>
        <v/>
      </c>
    </row>
    <row r="945" spans="1:19">
      <c r="A945" t="s">
        <v>1405</v>
      </c>
      <c r="B945" t="s">
        <v>755</v>
      </c>
      <c r="C945">
        <v>37</v>
      </c>
      <c r="D945" t="s">
        <v>61</v>
      </c>
      <c r="E945" t="s">
        <v>21</v>
      </c>
      <c r="F945" t="s">
        <v>55</v>
      </c>
      <c r="G945" t="s">
        <v>23</v>
      </c>
      <c r="H945" s="2">
        <v>44817</v>
      </c>
      <c r="I945" s="2" t="str">
        <f>IFERROR(VLOOKUP(HR_Employees[[#This Row],[Employee_ID]],'[1]Synthetic Exit Data'!$A$2:$E$235,4,0)," NA")</f>
        <v xml:space="preserve"> NA</v>
      </c>
      <c r="J945" t="s">
        <v>24</v>
      </c>
      <c r="K945">
        <v>3</v>
      </c>
      <c r="L945" s="3">
        <v>29927</v>
      </c>
      <c r="M945" t="s">
        <v>82</v>
      </c>
      <c r="N945" t="s">
        <v>50</v>
      </c>
      <c r="O945">
        <v>4.08</v>
      </c>
      <c r="P945" t="s">
        <v>27</v>
      </c>
      <c r="Q945" t="s">
        <v>86</v>
      </c>
      <c r="R945">
        <v>2022</v>
      </c>
      <c r="S945" t="str">
        <f>IF(AND(HR_Employees[[#This Row],[Attrition]]="YES",HR_Employees[[#This Row],[Exit_Date]]&lt;&gt;""),YEAR(HR_Employees[[#This Row],[Exit_Date]]),"")</f>
        <v/>
      </c>
    </row>
    <row r="946" spans="1:19">
      <c r="A946" t="s">
        <v>1406</v>
      </c>
      <c r="B946" t="s">
        <v>972</v>
      </c>
      <c r="C946">
        <v>49</v>
      </c>
      <c r="D946" t="s">
        <v>20</v>
      </c>
      <c r="E946" t="s">
        <v>32</v>
      </c>
      <c r="F946" t="s">
        <v>22</v>
      </c>
      <c r="G946" t="s">
        <v>33</v>
      </c>
      <c r="H946" s="2">
        <v>44025</v>
      </c>
      <c r="I946" s="2" t="str">
        <f>IFERROR(VLOOKUP(HR_Employees[[#This Row],[Employee_ID]],'[1]Synthetic Exit Data'!$A$2:$E$235,4,0)," NA")</f>
        <v xml:space="preserve"> NA</v>
      </c>
      <c r="J946" t="s">
        <v>24</v>
      </c>
      <c r="K946">
        <v>2</v>
      </c>
      <c r="L946" s="3">
        <v>120309</v>
      </c>
      <c r="M946" t="s">
        <v>25</v>
      </c>
      <c r="N946" t="s">
        <v>79</v>
      </c>
      <c r="O946">
        <v>6.25</v>
      </c>
      <c r="P946" t="s">
        <v>27</v>
      </c>
      <c r="Q946" t="s">
        <v>44</v>
      </c>
      <c r="R946">
        <v>2020</v>
      </c>
      <c r="S946" t="str">
        <f>IF(AND(HR_Employees[[#This Row],[Attrition]]="YES",HR_Employees[[#This Row],[Exit_Date]]&lt;&gt;""),YEAR(HR_Employees[[#This Row],[Exit_Date]]),"")</f>
        <v/>
      </c>
    </row>
    <row r="947" spans="1:19">
      <c r="A947" t="s">
        <v>1407</v>
      </c>
      <c r="B947" t="s">
        <v>1035</v>
      </c>
      <c r="C947">
        <v>28</v>
      </c>
      <c r="D947" t="s">
        <v>31</v>
      </c>
      <c r="E947" t="s">
        <v>32</v>
      </c>
      <c r="F947" t="s">
        <v>47</v>
      </c>
      <c r="G947" t="s">
        <v>23</v>
      </c>
      <c r="H947" s="2">
        <v>44209</v>
      </c>
      <c r="I947" s="2" t="str">
        <f>IFERROR(VLOOKUP(HR_Employees[[#This Row],[Employee_ID]],'[1]Synthetic Exit Data'!$A$2:$E$235,4,0)," NA")</f>
        <v xml:space="preserve"> NA</v>
      </c>
      <c r="J947" t="s">
        <v>24</v>
      </c>
      <c r="K947">
        <v>3</v>
      </c>
      <c r="L947" s="3">
        <v>120651</v>
      </c>
      <c r="M947" t="s">
        <v>25</v>
      </c>
      <c r="N947" t="s">
        <v>79</v>
      </c>
      <c r="O947">
        <v>5.75</v>
      </c>
      <c r="P947" t="s">
        <v>51</v>
      </c>
      <c r="Q947" t="s">
        <v>36</v>
      </c>
      <c r="R947">
        <v>2021</v>
      </c>
      <c r="S947" t="str">
        <f>IF(AND(HR_Employees[[#This Row],[Attrition]]="YES",HR_Employees[[#This Row],[Exit_Date]]&lt;&gt;""),YEAR(HR_Employees[[#This Row],[Exit_Date]]),"")</f>
        <v/>
      </c>
    </row>
    <row r="948" spans="1:19">
      <c r="A948" t="s">
        <v>1408</v>
      </c>
      <c r="B948" t="s">
        <v>656</v>
      </c>
      <c r="C948">
        <v>25</v>
      </c>
      <c r="D948" t="s">
        <v>39</v>
      </c>
      <c r="E948" t="s">
        <v>21</v>
      </c>
      <c r="F948" t="s">
        <v>55</v>
      </c>
      <c r="G948" t="s">
        <v>33</v>
      </c>
      <c r="H948" s="2">
        <v>40526</v>
      </c>
      <c r="I948" s="2" t="str">
        <f>IFERROR(VLOOKUP(HR_Employees[[#This Row],[Employee_ID]],'[1]Synthetic Exit Data'!$A$2:$E$235,4,0)," NA")</f>
        <v>2016-02-01</v>
      </c>
      <c r="J948" t="s">
        <v>49</v>
      </c>
      <c r="K948">
        <v>4</v>
      </c>
      <c r="L948" s="3">
        <v>35320</v>
      </c>
      <c r="M948" t="s">
        <v>42</v>
      </c>
      <c r="N948" t="s">
        <v>26</v>
      </c>
      <c r="O948">
        <v>15.75</v>
      </c>
      <c r="P948" t="s">
        <v>35</v>
      </c>
      <c r="Q948" t="s">
        <v>76</v>
      </c>
      <c r="R948">
        <v>2010</v>
      </c>
      <c r="S948">
        <f>IF(AND(HR_Employees[[#This Row],[Attrition]]="YES",HR_Employees[[#This Row],[Exit_Date]]&lt;&gt;""),YEAR(HR_Employees[[#This Row],[Exit_Date]]),"")</f>
        <v>2016</v>
      </c>
    </row>
    <row r="949" spans="1:19">
      <c r="A949" t="s">
        <v>1409</v>
      </c>
      <c r="B949" t="s">
        <v>38</v>
      </c>
      <c r="C949">
        <v>26</v>
      </c>
      <c r="D949" t="s">
        <v>31</v>
      </c>
      <c r="E949" t="s">
        <v>32</v>
      </c>
      <c r="F949" t="s">
        <v>47</v>
      </c>
      <c r="G949" t="s">
        <v>23</v>
      </c>
      <c r="H949" s="2">
        <v>46186</v>
      </c>
      <c r="I949" s="2" t="str">
        <f>IFERROR(VLOOKUP(HR_Employees[[#This Row],[Employee_ID]],'[1]Synthetic Exit Data'!$A$2:$E$235,4,0)," NA")</f>
        <v xml:space="preserve"> NA</v>
      </c>
      <c r="J949" t="s">
        <v>24</v>
      </c>
      <c r="K949">
        <v>4</v>
      </c>
      <c r="L949" s="3">
        <v>35410</v>
      </c>
      <c r="M949" t="s">
        <v>42</v>
      </c>
      <c r="N949" t="s">
        <v>43</v>
      </c>
      <c r="O949">
        <v>0.33</v>
      </c>
      <c r="P949" t="s">
        <v>57</v>
      </c>
      <c r="Q949" t="s">
        <v>62</v>
      </c>
      <c r="R949">
        <v>2026</v>
      </c>
      <c r="S949" t="str">
        <f>IF(AND(HR_Employees[[#This Row],[Attrition]]="YES",HR_Employees[[#This Row],[Exit_Date]]&lt;&gt;""),YEAR(HR_Employees[[#This Row],[Exit_Date]]),"")</f>
        <v/>
      </c>
    </row>
    <row r="950" spans="1:19">
      <c r="A950" t="s">
        <v>1410</v>
      </c>
      <c r="B950" t="s">
        <v>783</v>
      </c>
      <c r="C950">
        <v>31</v>
      </c>
      <c r="D950" t="s">
        <v>31</v>
      </c>
      <c r="E950" t="s">
        <v>32</v>
      </c>
      <c r="F950" t="s">
        <v>109</v>
      </c>
      <c r="G950" t="s">
        <v>33</v>
      </c>
      <c r="H950" s="2">
        <v>43447</v>
      </c>
      <c r="I950" s="2" t="str">
        <f>IFERROR(VLOOKUP(HR_Employees[[#This Row],[Employee_ID]],'[1]Synthetic Exit Data'!$A$2:$E$235,4,0)," NA")</f>
        <v xml:space="preserve"> NA</v>
      </c>
      <c r="J950" t="s">
        <v>24</v>
      </c>
      <c r="K950">
        <v>4</v>
      </c>
      <c r="L950" s="3">
        <v>39574</v>
      </c>
      <c r="M950" t="s">
        <v>42</v>
      </c>
      <c r="N950" t="s">
        <v>79</v>
      </c>
      <c r="O950">
        <v>7.83</v>
      </c>
      <c r="P950" t="s">
        <v>51</v>
      </c>
      <c r="Q950" t="s">
        <v>76</v>
      </c>
      <c r="R950">
        <v>2018</v>
      </c>
      <c r="S950" t="str">
        <f>IF(AND(HR_Employees[[#This Row],[Attrition]]="YES",HR_Employees[[#This Row],[Exit_Date]]&lt;&gt;""),YEAR(HR_Employees[[#This Row],[Exit_Date]]),"")</f>
        <v/>
      </c>
    </row>
    <row r="951" spans="1:19">
      <c r="A951" t="s">
        <v>1411</v>
      </c>
      <c r="B951" t="s">
        <v>1412</v>
      </c>
      <c r="C951">
        <v>46</v>
      </c>
      <c r="D951" t="s">
        <v>20</v>
      </c>
      <c r="E951" t="s">
        <v>32</v>
      </c>
      <c r="F951" t="s">
        <v>109</v>
      </c>
      <c r="G951" t="s">
        <v>23</v>
      </c>
      <c r="H951" s="2">
        <v>45913</v>
      </c>
      <c r="I951" s="2" t="str">
        <f>IFERROR(VLOOKUP(HR_Employees[[#This Row],[Employee_ID]],'[1]Synthetic Exit Data'!$A$2:$E$235,4,0)," NA")</f>
        <v>2025-09-18</v>
      </c>
      <c r="J951" t="s">
        <v>49</v>
      </c>
      <c r="K951">
        <v>2</v>
      </c>
      <c r="L951" s="3">
        <v>148855</v>
      </c>
      <c r="M951" t="s">
        <v>25</v>
      </c>
      <c r="N951" t="s">
        <v>43</v>
      </c>
      <c r="O951">
        <v>1</v>
      </c>
      <c r="P951" t="s">
        <v>57</v>
      </c>
      <c r="Q951" t="s">
        <v>92</v>
      </c>
      <c r="R951">
        <v>2025</v>
      </c>
      <c r="S951">
        <f>IF(AND(HR_Employees[[#This Row],[Attrition]]="YES",HR_Employees[[#This Row],[Exit_Date]]&lt;&gt;""),YEAR(HR_Employees[[#This Row],[Exit_Date]]),"")</f>
        <v>2025</v>
      </c>
    </row>
    <row r="952" spans="1:19">
      <c r="A952" t="s">
        <v>1413</v>
      </c>
      <c r="B952" t="s">
        <v>403</v>
      </c>
      <c r="C952">
        <v>39</v>
      </c>
      <c r="D952" t="s">
        <v>61</v>
      </c>
      <c r="E952" t="s">
        <v>32</v>
      </c>
      <c r="F952" t="s">
        <v>151</v>
      </c>
      <c r="G952" t="s">
        <v>23</v>
      </c>
      <c r="H952" s="2">
        <v>46021</v>
      </c>
      <c r="I952" s="2" t="str">
        <f>IFERROR(VLOOKUP(HR_Employees[[#This Row],[Employee_ID]],'[1]Synthetic Exit Data'!$A$2:$E$235,4,0)," NA")</f>
        <v>2025-12-31</v>
      </c>
      <c r="J952" t="s">
        <v>49</v>
      </c>
      <c r="K952">
        <v>3</v>
      </c>
      <c r="L952" s="3">
        <v>37033</v>
      </c>
      <c r="M952" t="s">
        <v>42</v>
      </c>
      <c r="N952" t="s">
        <v>43</v>
      </c>
      <c r="O952">
        <v>0.75</v>
      </c>
      <c r="P952" t="s">
        <v>27</v>
      </c>
      <c r="Q952" t="s">
        <v>62</v>
      </c>
      <c r="R952">
        <v>2025</v>
      </c>
      <c r="S952">
        <f>IF(AND(HR_Employees[[#This Row],[Attrition]]="YES",HR_Employees[[#This Row],[Exit_Date]]&lt;&gt;""),YEAR(HR_Employees[[#This Row],[Exit_Date]]),"")</f>
        <v>2025</v>
      </c>
    </row>
    <row r="953" spans="1:19">
      <c r="A953" t="s">
        <v>1414</v>
      </c>
      <c r="B953" t="s">
        <v>932</v>
      </c>
      <c r="C953">
        <v>24</v>
      </c>
      <c r="D953" t="s">
        <v>39</v>
      </c>
      <c r="E953" t="s">
        <v>32</v>
      </c>
      <c r="F953" t="s">
        <v>55</v>
      </c>
      <c r="G953" t="s">
        <v>48</v>
      </c>
      <c r="H953" s="2">
        <v>45974</v>
      </c>
      <c r="I953" s="2" t="str">
        <f>IFERROR(VLOOKUP(HR_Employees[[#This Row],[Employee_ID]],'[1]Synthetic Exit Data'!$A$2:$E$235,4,0)," NA")</f>
        <v xml:space="preserve"> NA</v>
      </c>
      <c r="J953" t="s">
        <v>24</v>
      </c>
      <c r="K953">
        <v>4</v>
      </c>
      <c r="L953" s="3">
        <v>55776</v>
      </c>
      <c r="M953" t="s">
        <v>34</v>
      </c>
      <c r="N953" t="s">
        <v>43</v>
      </c>
      <c r="O953">
        <v>0.92</v>
      </c>
      <c r="P953" t="s">
        <v>27</v>
      </c>
      <c r="Q953" t="s">
        <v>86</v>
      </c>
      <c r="R953">
        <v>2025</v>
      </c>
      <c r="S953" t="str">
        <f>IF(AND(HR_Employees[[#This Row],[Attrition]]="YES",HR_Employees[[#This Row],[Exit_Date]]&lt;&gt;""),YEAR(HR_Employees[[#This Row],[Exit_Date]]),"")</f>
        <v/>
      </c>
    </row>
    <row r="954" spans="1:19">
      <c r="A954" t="s">
        <v>1415</v>
      </c>
      <c r="B954" t="s">
        <v>995</v>
      </c>
      <c r="C954">
        <v>31</v>
      </c>
      <c r="D954" t="s">
        <v>31</v>
      </c>
      <c r="E954" t="s">
        <v>32</v>
      </c>
      <c r="F954" t="s">
        <v>22</v>
      </c>
      <c r="G954" t="s">
        <v>23</v>
      </c>
      <c r="H954" s="2">
        <v>44360</v>
      </c>
      <c r="I954" s="2" t="str">
        <f>IFERROR(VLOOKUP(HR_Employees[[#This Row],[Employee_ID]],'[1]Synthetic Exit Data'!$A$2:$E$235,4,0)," NA")</f>
        <v xml:space="preserve"> NA</v>
      </c>
      <c r="J954" t="s">
        <v>24</v>
      </c>
      <c r="K954">
        <v>3</v>
      </c>
      <c r="L954" s="3">
        <v>126306</v>
      </c>
      <c r="M954" t="s">
        <v>25</v>
      </c>
      <c r="N954" t="s">
        <v>79</v>
      </c>
      <c r="O954">
        <v>5.33</v>
      </c>
      <c r="P954" t="s">
        <v>35</v>
      </c>
      <c r="Q954" t="s">
        <v>86</v>
      </c>
      <c r="R954">
        <v>2021</v>
      </c>
      <c r="S954" t="str">
        <f>IF(AND(HR_Employees[[#This Row],[Attrition]]="YES",HR_Employees[[#This Row],[Exit_Date]]&lt;&gt;""),YEAR(HR_Employees[[#This Row],[Exit_Date]]),"")</f>
        <v/>
      </c>
    </row>
    <row r="955" spans="1:19">
      <c r="A955" t="s">
        <v>1416</v>
      </c>
      <c r="B955" t="s">
        <v>438</v>
      </c>
      <c r="C955">
        <v>30</v>
      </c>
      <c r="D955" t="s">
        <v>31</v>
      </c>
      <c r="E955" t="s">
        <v>32</v>
      </c>
      <c r="F955" t="s">
        <v>65</v>
      </c>
      <c r="G955" t="s">
        <v>114</v>
      </c>
      <c r="H955" s="2">
        <v>46004</v>
      </c>
      <c r="I955" s="2" t="str">
        <f>IFERROR(VLOOKUP(HR_Employees[[#This Row],[Employee_ID]],'[1]Synthetic Exit Data'!$A$2:$E$235,4,0)," NA")</f>
        <v xml:space="preserve"> NA</v>
      </c>
      <c r="J955" t="s">
        <v>24</v>
      </c>
      <c r="K955">
        <v>3</v>
      </c>
      <c r="L955" s="3">
        <v>50094</v>
      </c>
      <c r="M955" t="s">
        <v>34</v>
      </c>
      <c r="N955" t="s">
        <v>43</v>
      </c>
      <c r="O955">
        <v>0.83</v>
      </c>
      <c r="P955" t="s">
        <v>51</v>
      </c>
      <c r="Q955" t="s">
        <v>44</v>
      </c>
      <c r="R955">
        <v>2025</v>
      </c>
      <c r="S955" t="str">
        <f>IF(AND(HR_Employees[[#This Row],[Attrition]]="YES",HR_Employees[[#This Row],[Exit_Date]]&lt;&gt;""),YEAR(HR_Employees[[#This Row],[Exit_Date]]),"")</f>
        <v/>
      </c>
    </row>
    <row r="956" spans="1:19">
      <c r="A956" t="s">
        <v>1417</v>
      </c>
      <c r="B956" t="s">
        <v>676</v>
      </c>
      <c r="C956">
        <v>29</v>
      </c>
      <c r="D956" t="s">
        <v>31</v>
      </c>
      <c r="E956" t="s">
        <v>32</v>
      </c>
      <c r="F956" t="s">
        <v>22</v>
      </c>
      <c r="G956" t="s">
        <v>23</v>
      </c>
      <c r="H956" s="2">
        <v>41134</v>
      </c>
      <c r="I956" s="2" t="str">
        <f>IFERROR(VLOOKUP(HR_Employees[[#This Row],[Employee_ID]],'[1]Synthetic Exit Data'!$A$2:$E$235,4,0)," NA")</f>
        <v xml:space="preserve"> NA</v>
      </c>
      <c r="J956" t="s">
        <v>24</v>
      </c>
      <c r="K956">
        <v>4</v>
      </c>
      <c r="L956" s="3">
        <v>24709</v>
      </c>
      <c r="M956" t="s">
        <v>82</v>
      </c>
      <c r="N956" t="s">
        <v>26</v>
      </c>
      <c r="O956">
        <v>14.17</v>
      </c>
      <c r="P956" t="s">
        <v>51</v>
      </c>
      <c r="Q956" t="s">
        <v>58</v>
      </c>
      <c r="R956">
        <v>2012</v>
      </c>
      <c r="S956" t="str">
        <f>IF(AND(HR_Employees[[#This Row],[Attrition]]="YES",HR_Employees[[#This Row],[Exit_Date]]&lt;&gt;""),YEAR(HR_Employees[[#This Row],[Exit_Date]]),"")</f>
        <v/>
      </c>
    </row>
    <row r="957" spans="1:19">
      <c r="A957" t="s">
        <v>1418</v>
      </c>
      <c r="B957" t="s">
        <v>1419</v>
      </c>
      <c r="C957">
        <v>22</v>
      </c>
      <c r="D957" t="s">
        <v>39</v>
      </c>
      <c r="E957" t="s">
        <v>32</v>
      </c>
      <c r="F957" t="s">
        <v>22</v>
      </c>
      <c r="G957" t="s">
        <v>114</v>
      </c>
      <c r="H957" s="2">
        <v>45182</v>
      </c>
      <c r="I957" s="2" t="str">
        <f>IFERROR(VLOOKUP(HR_Employees[[#This Row],[Employee_ID]],'[1]Synthetic Exit Data'!$A$2:$E$235,4,0)," NA")</f>
        <v xml:space="preserve"> NA</v>
      </c>
      <c r="J957" t="s">
        <v>24</v>
      </c>
      <c r="K957">
        <v>3</v>
      </c>
      <c r="L957" s="3">
        <v>80237</v>
      </c>
      <c r="M957" t="s">
        <v>66</v>
      </c>
      <c r="N957" t="s">
        <v>50</v>
      </c>
      <c r="O957">
        <v>3.08</v>
      </c>
      <c r="P957" t="s">
        <v>83</v>
      </c>
      <c r="Q957" t="s">
        <v>28</v>
      </c>
      <c r="R957">
        <v>2023</v>
      </c>
      <c r="S957" t="str">
        <f>IF(AND(HR_Employees[[#This Row],[Attrition]]="YES",HR_Employees[[#This Row],[Exit_Date]]&lt;&gt;""),YEAR(HR_Employees[[#This Row],[Exit_Date]]),"")</f>
        <v/>
      </c>
    </row>
    <row r="958" spans="1:19">
      <c r="A958" t="s">
        <v>1420</v>
      </c>
      <c r="B958" t="s">
        <v>1040</v>
      </c>
      <c r="C958">
        <v>31</v>
      </c>
      <c r="D958" t="s">
        <v>31</v>
      </c>
      <c r="E958" t="s">
        <v>32</v>
      </c>
      <c r="F958" t="s">
        <v>47</v>
      </c>
      <c r="G958" t="s">
        <v>23</v>
      </c>
      <c r="H958" s="2">
        <v>45821</v>
      </c>
      <c r="I958" s="2" t="str">
        <f>IFERROR(VLOOKUP(HR_Employees[[#This Row],[Employee_ID]],'[1]Synthetic Exit Data'!$A$2:$E$235,4,0)," NA")</f>
        <v xml:space="preserve"> NA</v>
      </c>
      <c r="J958" t="s">
        <v>24</v>
      </c>
      <c r="K958">
        <v>3</v>
      </c>
      <c r="L958" s="3">
        <v>103769</v>
      </c>
      <c r="M958" t="s">
        <v>25</v>
      </c>
      <c r="N958" t="s">
        <v>56</v>
      </c>
      <c r="O958">
        <v>1.33</v>
      </c>
      <c r="P958" t="s">
        <v>27</v>
      </c>
      <c r="Q958" t="s">
        <v>76</v>
      </c>
      <c r="R958">
        <v>2025</v>
      </c>
      <c r="S958" t="str">
        <f>IF(AND(HR_Employees[[#This Row],[Attrition]]="YES",HR_Employees[[#This Row],[Exit_Date]]&lt;&gt;""),YEAR(HR_Employees[[#This Row],[Exit_Date]]),"")</f>
        <v/>
      </c>
    </row>
    <row r="959" spans="1:19">
      <c r="A959" t="s">
        <v>1421</v>
      </c>
      <c r="B959" t="s">
        <v>781</v>
      </c>
      <c r="C959">
        <v>22</v>
      </c>
      <c r="D959" t="s">
        <v>39</v>
      </c>
      <c r="E959" t="s">
        <v>32</v>
      </c>
      <c r="F959" t="s">
        <v>47</v>
      </c>
      <c r="G959" t="s">
        <v>41</v>
      </c>
      <c r="H959" s="2">
        <v>44148</v>
      </c>
      <c r="I959" s="2" t="str">
        <f>IFERROR(VLOOKUP(HR_Employees[[#This Row],[Employee_ID]],'[1]Synthetic Exit Data'!$A$2:$E$235,4,0)," NA")</f>
        <v xml:space="preserve"> NA</v>
      </c>
      <c r="J959" t="s">
        <v>24</v>
      </c>
      <c r="K959">
        <v>5</v>
      </c>
      <c r="L959" s="3">
        <v>67723</v>
      </c>
      <c r="M959" t="s">
        <v>34</v>
      </c>
      <c r="N959" t="s">
        <v>79</v>
      </c>
      <c r="O959">
        <v>5.92</v>
      </c>
      <c r="P959" t="s">
        <v>27</v>
      </c>
      <c r="Q959" t="s">
        <v>92</v>
      </c>
      <c r="R959">
        <v>2020</v>
      </c>
      <c r="S959" t="str">
        <f>IF(AND(HR_Employees[[#This Row],[Attrition]]="YES",HR_Employees[[#This Row],[Exit_Date]]&lt;&gt;""),YEAR(HR_Employees[[#This Row],[Exit_Date]]),"")</f>
        <v/>
      </c>
    </row>
    <row r="960" spans="1:19">
      <c r="A960" t="s">
        <v>1422</v>
      </c>
      <c r="B960" t="s">
        <v>1423</v>
      </c>
      <c r="C960">
        <v>31</v>
      </c>
      <c r="D960" t="s">
        <v>31</v>
      </c>
      <c r="E960" t="s">
        <v>32</v>
      </c>
      <c r="F960" t="s">
        <v>22</v>
      </c>
      <c r="G960" t="s">
        <v>33</v>
      </c>
      <c r="H960" s="2">
        <v>45243</v>
      </c>
      <c r="I960" s="2" t="str">
        <f>IFERROR(VLOOKUP(HR_Employees[[#This Row],[Employee_ID]],'[1]Synthetic Exit Data'!$A$2:$E$235,4,0)," NA")</f>
        <v xml:space="preserve"> NA</v>
      </c>
      <c r="J960" t="s">
        <v>24</v>
      </c>
      <c r="K960">
        <v>4</v>
      </c>
      <c r="L960" s="3">
        <v>59965</v>
      </c>
      <c r="M960" t="s">
        <v>34</v>
      </c>
      <c r="N960" t="s">
        <v>56</v>
      </c>
      <c r="O960">
        <v>2.92</v>
      </c>
      <c r="P960" t="s">
        <v>125</v>
      </c>
      <c r="Q960" t="s">
        <v>36</v>
      </c>
      <c r="R960">
        <v>2023</v>
      </c>
      <c r="S960" t="str">
        <f>IF(AND(HR_Employees[[#This Row],[Attrition]]="YES",HR_Employees[[#This Row],[Exit_Date]]&lt;&gt;""),YEAR(HR_Employees[[#This Row],[Exit_Date]]),"")</f>
        <v/>
      </c>
    </row>
    <row r="961" spans="1:19">
      <c r="A961" t="s">
        <v>1424</v>
      </c>
      <c r="B961" t="s">
        <v>1376</v>
      </c>
      <c r="C961">
        <v>39</v>
      </c>
      <c r="D961" t="s">
        <v>61</v>
      </c>
      <c r="E961" t="s">
        <v>21</v>
      </c>
      <c r="F961" t="s">
        <v>55</v>
      </c>
      <c r="G961" t="s">
        <v>33</v>
      </c>
      <c r="H961" s="2">
        <v>44353</v>
      </c>
      <c r="I961" s="2" t="str">
        <f>IFERROR(VLOOKUP(HR_Employees[[#This Row],[Employee_ID]],'[1]Synthetic Exit Data'!$A$2:$E$235,4,0)," NA")</f>
        <v>2021-10-19</v>
      </c>
      <c r="J961" t="s">
        <v>49</v>
      </c>
      <c r="K961">
        <v>4</v>
      </c>
      <c r="L961" s="3">
        <v>20082</v>
      </c>
      <c r="M961" t="s">
        <v>82</v>
      </c>
      <c r="N961" t="s">
        <v>79</v>
      </c>
      <c r="O961">
        <v>5.17</v>
      </c>
      <c r="P961" t="s">
        <v>57</v>
      </c>
      <c r="Q961" t="s">
        <v>76</v>
      </c>
      <c r="R961">
        <v>2021</v>
      </c>
      <c r="S961">
        <f>IF(AND(HR_Employees[[#This Row],[Attrition]]="YES",HR_Employees[[#This Row],[Exit_Date]]&lt;&gt;""),YEAR(HR_Employees[[#This Row],[Exit_Date]]),"")</f>
        <v>2021</v>
      </c>
    </row>
    <row r="962" spans="1:19">
      <c r="A962" t="s">
        <v>1425</v>
      </c>
      <c r="B962" t="s">
        <v>779</v>
      </c>
      <c r="C962">
        <v>21</v>
      </c>
      <c r="D962" t="s">
        <v>39</v>
      </c>
      <c r="E962" t="s">
        <v>32</v>
      </c>
      <c r="F962" t="s">
        <v>109</v>
      </c>
      <c r="G962" t="s">
        <v>23</v>
      </c>
      <c r="H962" s="2">
        <v>45151</v>
      </c>
      <c r="I962" s="2" t="str">
        <f>IFERROR(VLOOKUP(HR_Employees[[#This Row],[Employee_ID]],'[1]Synthetic Exit Data'!$A$2:$E$235,4,0)," NA")</f>
        <v xml:space="preserve"> NA</v>
      </c>
      <c r="J962" t="s">
        <v>24</v>
      </c>
      <c r="K962">
        <v>3</v>
      </c>
      <c r="L962" s="3">
        <v>164336</v>
      </c>
      <c r="M962" t="s">
        <v>25</v>
      </c>
      <c r="N962" t="s">
        <v>50</v>
      </c>
      <c r="O962">
        <v>3.17</v>
      </c>
      <c r="P962" t="s">
        <v>57</v>
      </c>
      <c r="Q962" t="s">
        <v>44</v>
      </c>
      <c r="R962">
        <v>2023</v>
      </c>
      <c r="S962" t="str">
        <f>IF(AND(HR_Employees[[#This Row],[Attrition]]="YES",HR_Employees[[#This Row],[Exit_Date]]&lt;&gt;""),YEAR(HR_Employees[[#This Row],[Exit_Date]]),"")</f>
        <v/>
      </c>
    </row>
    <row r="963" spans="1:19">
      <c r="A963" t="s">
        <v>1426</v>
      </c>
      <c r="B963" t="s">
        <v>761</v>
      </c>
      <c r="C963">
        <v>32</v>
      </c>
      <c r="D963" t="s">
        <v>31</v>
      </c>
      <c r="E963" t="s">
        <v>21</v>
      </c>
      <c r="F963" t="s">
        <v>22</v>
      </c>
      <c r="G963" t="s">
        <v>23</v>
      </c>
      <c r="H963" s="2">
        <v>45578</v>
      </c>
      <c r="I963" s="2" t="str">
        <f>IFERROR(VLOOKUP(HR_Employees[[#This Row],[Employee_ID]],'[1]Synthetic Exit Data'!$A$2:$E$235,4,0)," NA")</f>
        <v xml:space="preserve"> NA</v>
      </c>
      <c r="J963" t="s">
        <v>24</v>
      </c>
      <c r="K963">
        <v>4</v>
      </c>
      <c r="L963" s="3">
        <v>49960</v>
      </c>
      <c r="M963" t="s">
        <v>42</v>
      </c>
      <c r="N963" t="s">
        <v>56</v>
      </c>
      <c r="O963">
        <v>2</v>
      </c>
      <c r="P963" t="s">
        <v>27</v>
      </c>
      <c r="Q963" t="s">
        <v>44</v>
      </c>
      <c r="R963">
        <v>2024</v>
      </c>
      <c r="S963" t="str">
        <f>IF(AND(HR_Employees[[#This Row],[Attrition]]="YES",HR_Employees[[#This Row],[Exit_Date]]&lt;&gt;""),YEAR(HR_Employees[[#This Row],[Exit_Date]]),"")</f>
        <v/>
      </c>
    </row>
    <row r="964" spans="1:19">
      <c r="A964" t="s">
        <v>1427</v>
      </c>
      <c r="B964" t="s">
        <v>1428</v>
      </c>
      <c r="C964">
        <v>54</v>
      </c>
      <c r="D964" t="s">
        <v>20</v>
      </c>
      <c r="E964" t="s">
        <v>32</v>
      </c>
      <c r="F964" t="s">
        <v>22</v>
      </c>
      <c r="G964" t="s">
        <v>33</v>
      </c>
      <c r="H964" s="2">
        <v>41256</v>
      </c>
      <c r="I964" s="2" t="str">
        <f>IFERROR(VLOOKUP(HR_Employees[[#This Row],[Employee_ID]],'[1]Synthetic Exit Data'!$A$2:$E$235,4,0)," NA")</f>
        <v xml:space="preserve"> NA</v>
      </c>
      <c r="J964" t="s">
        <v>24</v>
      </c>
      <c r="K964">
        <v>4</v>
      </c>
      <c r="L964" s="3">
        <v>44572</v>
      </c>
      <c r="M964" t="s">
        <v>42</v>
      </c>
      <c r="N964" t="s">
        <v>26</v>
      </c>
      <c r="O964">
        <v>13.83</v>
      </c>
      <c r="P964" t="s">
        <v>125</v>
      </c>
      <c r="Q964" t="s">
        <v>76</v>
      </c>
      <c r="R964">
        <v>2012</v>
      </c>
      <c r="S964" t="str">
        <f>IF(AND(HR_Employees[[#This Row],[Attrition]]="YES",HR_Employees[[#This Row],[Exit_Date]]&lt;&gt;""),YEAR(HR_Employees[[#This Row],[Exit_Date]]),"")</f>
        <v/>
      </c>
    </row>
    <row r="965" spans="1:19">
      <c r="A965" t="s">
        <v>1429</v>
      </c>
      <c r="B965" t="s">
        <v>1287</v>
      </c>
      <c r="C965">
        <v>40</v>
      </c>
      <c r="D965" t="s">
        <v>61</v>
      </c>
      <c r="E965" t="s">
        <v>21</v>
      </c>
      <c r="F965" t="s">
        <v>40</v>
      </c>
      <c r="G965" t="s">
        <v>48</v>
      </c>
      <c r="H965" s="2">
        <v>45902</v>
      </c>
      <c r="I965" s="2" t="str">
        <f>IFERROR(VLOOKUP(HR_Employees[[#This Row],[Employee_ID]],'[1]Synthetic Exit Data'!$A$2:$E$235,4,0)," NA")</f>
        <v>2025-09-18</v>
      </c>
      <c r="J965" t="s">
        <v>49</v>
      </c>
      <c r="K965">
        <v>1</v>
      </c>
      <c r="L965" s="3">
        <v>50847</v>
      </c>
      <c r="M965" t="s">
        <v>34</v>
      </c>
      <c r="N965" t="s">
        <v>56</v>
      </c>
      <c r="O965">
        <v>1.08</v>
      </c>
      <c r="P965" t="s">
        <v>51</v>
      </c>
      <c r="Q965" t="s">
        <v>62</v>
      </c>
      <c r="R965">
        <v>2025</v>
      </c>
      <c r="S965">
        <f>IF(AND(HR_Employees[[#This Row],[Attrition]]="YES",HR_Employees[[#This Row],[Exit_Date]]&lt;&gt;""),YEAR(HR_Employees[[#This Row],[Exit_Date]]),"")</f>
        <v>2025</v>
      </c>
    </row>
    <row r="966" spans="1:19">
      <c r="A966" t="s">
        <v>1430</v>
      </c>
      <c r="B966" t="s">
        <v>716</v>
      </c>
      <c r="C966">
        <v>27</v>
      </c>
      <c r="D966" t="s">
        <v>31</v>
      </c>
      <c r="E966" t="s">
        <v>32</v>
      </c>
      <c r="F966" t="s">
        <v>55</v>
      </c>
      <c r="G966" t="s">
        <v>114</v>
      </c>
      <c r="H966" s="2">
        <v>46004</v>
      </c>
      <c r="I966" s="2" t="str">
        <f>IFERROR(VLOOKUP(HR_Employees[[#This Row],[Employee_ID]],'[1]Synthetic Exit Data'!$A$2:$E$235,4,0)," NA")</f>
        <v xml:space="preserve"> NA</v>
      </c>
      <c r="J966" t="s">
        <v>24</v>
      </c>
      <c r="K966">
        <v>2</v>
      </c>
      <c r="L966" s="3">
        <v>123438</v>
      </c>
      <c r="M966" t="s">
        <v>25</v>
      </c>
      <c r="N966" t="s">
        <v>43</v>
      </c>
      <c r="O966">
        <v>0.83</v>
      </c>
      <c r="P966" t="s">
        <v>27</v>
      </c>
      <c r="Q966" t="s">
        <v>58</v>
      </c>
      <c r="R966">
        <v>2025</v>
      </c>
      <c r="S966" t="str">
        <f>IF(AND(HR_Employees[[#This Row],[Attrition]]="YES",HR_Employees[[#This Row],[Exit_Date]]&lt;&gt;""),YEAR(HR_Employees[[#This Row],[Exit_Date]]),"")</f>
        <v/>
      </c>
    </row>
    <row r="967" spans="1:19">
      <c r="A967" t="s">
        <v>1431</v>
      </c>
      <c r="B967" t="s">
        <v>1432</v>
      </c>
      <c r="C967">
        <v>57</v>
      </c>
      <c r="D967" t="s">
        <v>54</v>
      </c>
      <c r="E967" t="s">
        <v>32</v>
      </c>
      <c r="F967" t="s">
        <v>55</v>
      </c>
      <c r="G967" t="s">
        <v>41</v>
      </c>
      <c r="H967" s="2">
        <v>46216</v>
      </c>
      <c r="I967" s="2" t="str">
        <f>IFERROR(VLOOKUP(HR_Employees[[#This Row],[Employee_ID]],'[1]Synthetic Exit Data'!$A$2:$E$235,4,0)," NA")</f>
        <v xml:space="preserve"> NA</v>
      </c>
      <c r="J967" t="s">
        <v>24</v>
      </c>
      <c r="K967">
        <v>5</v>
      </c>
      <c r="L967" s="3">
        <v>96807</v>
      </c>
      <c r="M967" t="s">
        <v>66</v>
      </c>
      <c r="N967" t="s">
        <v>43</v>
      </c>
      <c r="O967">
        <v>0.25</v>
      </c>
      <c r="P967" t="s">
        <v>27</v>
      </c>
      <c r="Q967" t="s">
        <v>36</v>
      </c>
      <c r="R967">
        <v>2026</v>
      </c>
      <c r="S967" t="str">
        <f>IF(AND(HR_Employees[[#This Row],[Attrition]]="YES",HR_Employees[[#This Row],[Exit_Date]]&lt;&gt;""),YEAR(HR_Employees[[#This Row],[Exit_Date]]),"")</f>
        <v/>
      </c>
    </row>
    <row r="968" spans="1:19">
      <c r="A968" t="s">
        <v>1433</v>
      </c>
      <c r="B968" t="s">
        <v>614</v>
      </c>
      <c r="C968">
        <v>49</v>
      </c>
      <c r="D968" t="s">
        <v>20</v>
      </c>
      <c r="E968" t="s">
        <v>21</v>
      </c>
      <c r="F968" t="s">
        <v>40</v>
      </c>
      <c r="G968" t="s">
        <v>48</v>
      </c>
      <c r="H968" s="2">
        <v>43903</v>
      </c>
      <c r="I968" s="2" t="str">
        <f>IFERROR(VLOOKUP(HR_Employees[[#This Row],[Employee_ID]],'[1]Synthetic Exit Data'!$A$2:$E$235,4,0)," NA")</f>
        <v xml:space="preserve"> NA</v>
      </c>
      <c r="J968" t="s">
        <v>24</v>
      </c>
      <c r="K968">
        <v>4</v>
      </c>
      <c r="L968" s="3">
        <v>43760</v>
      </c>
      <c r="M968" t="s">
        <v>42</v>
      </c>
      <c r="N968" t="s">
        <v>79</v>
      </c>
      <c r="O968">
        <v>6.58</v>
      </c>
      <c r="P968" t="s">
        <v>57</v>
      </c>
      <c r="Q968" t="s">
        <v>62</v>
      </c>
      <c r="R968">
        <v>2020</v>
      </c>
      <c r="S968" t="str">
        <f>IF(AND(HR_Employees[[#This Row],[Attrition]]="YES",HR_Employees[[#This Row],[Exit_Date]]&lt;&gt;""),YEAR(HR_Employees[[#This Row],[Exit_Date]]),"")</f>
        <v/>
      </c>
    </row>
    <row r="969" spans="1:19">
      <c r="A969" t="s">
        <v>1434</v>
      </c>
      <c r="B969" t="s">
        <v>505</v>
      </c>
      <c r="C969">
        <v>37</v>
      </c>
      <c r="D969" t="s">
        <v>61</v>
      </c>
      <c r="E969" t="s">
        <v>32</v>
      </c>
      <c r="F969" t="s">
        <v>47</v>
      </c>
      <c r="G969" t="s">
        <v>23</v>
      </c>
      <c r="H969" s="2">
        <v>45120</v>
      </c>
      <c r="I969" s="2" t="str">
        <f>IFERROR(VLOOKUP(HR_Employees[[#This Row],[Employee_ID]],'[1]Synthetic Exit Data'!$A$2:$E$235,4,0)," NA")</f>
        <v xml:space="preserve"> NA</v>
      </c>
      <c r="J969" t="s">
        <v>24</v>
      </c>
      <c r="K969">
        <v>5</v>
      </c>
      <c r="L969" s="3">
        <v>24452</v>
      </c>
      <c r="M969" t="s">
        <v>82</v>
      </c>
      <c r="N969" t="s">
        <v>50</v>
      </c>
      <c r="O969">
        <v>3.25</v>
      </c>
      <c r="P969" t="s">
        <v>57</v>
      </c>
      <c r="Q969" t="s">
        <v>92</v>
      </c>
      <c r="R969">
        <v>2023</v>
      </c>
      <c r="S969" t="str">
        <f>IF(AND(HR_Employees[[#This Row],[Attrition]]="YES",HR_Employees[[#This Row],[Exit_Date]]&lt;&gt;""),YEAR(HR_Employees[[#This Row],[Exit_Date]]),"")</f>
        <v/>
      </c>
    </row>
    <row r="970" spans="1:19">
      <c r="A970" t="s">
        <v>1435</v>
      </c>
      <c r="B970" t="s">
        <v>284</v>
      </c>
      <c r="C970">
        <v>53</v>
      </c>
      <c r="D970" t="s">
        <v>20</v>
      </c>
      <c r="E970" t="s">
        <v>21</v>
      </c>
      <c r="F970" t="s">
        <v>109</v>
      </c>
      <c r="G970" t="s">
        <v>48</v>
      </c>
      <c r="H970" s="2">
        <v>46032</v>
      </c>
      <c r="I970" s="2" t="str">
        <f>IFERROR(VLOOKUP(HR_Employees[[#This Row],[Employee_ID]],'[1]Synthetic Exit Data'!$A$2:$E$235,4,0)," NA")</f>
        <v>2026-09-15</v>
      </c>
      <c r="J970" t="s">
        <v>49</v>
      </c>
      <c r="K970">
        <v>3</v>
      </c>
      <c r="L970" s="3">
        <v>55833</v>
      </c>
      <c r="M970" t="s">
        <v>34</v>
      </c>
      <c r="N970" t="s">
        <v>43</v>
      </c>
      <c r="O970">
        <v>0.67</v>
      </c>
      <c r="P970" t="s">
        <v>83</v>
      </c>
      <c r="Q970" t="s">
        <v>76</v>
      </c>
      <c r="R970">
        <v>2026</v>
      </c>
      <c r="S970">
        <f>IF(AND(HR_Employees[[#This Row],[Attrition]]="YES",HR_Employees[[#This Row],[Exit_Date]]&lt;&gt;""),YEAR(HR_Employees[[#This Row],[Exit_Date]]),"")</f>
        <v>2026</v>
      </c>
    </row>
    <row r="971" spans="1:19">
      <c r="A971" t="s">
        <v>1436</v>
      </c>
      <c r="B971" t="s">
        <v>442</v>
      </c>
      <c r="C971">
        <v>25</v>
      </c>
      <c r="D971" t="s">
        <v>39</v>
      </c>
      <c r="E971" t="s">
        <v>21</v>
      </c>
      <c r="F971" t="s">
        <v>73</v>
      </c>
      <c r="G971" t="s">
        <v>23</v>
      </c>
      <c r="H971" s="2">
        <v>45215</v>
      </c>
      <c r="I971" s="2" t="str">
        <f>IFERROR(VLOOKUP(HR_Employees[[#This Row],[Employee_ID]],'[1]Synthetic Exit Data'!$A$2:$E$235,4,0)," NA")</f>
        <v>2023-11-23</v>
      </c>
      <c r="J971" t="s">
        <v>49</v>
      </c>
      <c r="K971">
        <v>3</v>
      </c>
      <c r="L971" s="3">
        <v>40147</v>
      </c>
      <c r="M971" t="s">
        <v>42</v>
      </c>
      <c r="N971" t="s">
        <v>56</v>
      </c>
      <c r="O971">
        <v>2.83</v>
      </c>
      <c r="P971" t="s">
        <v>35</v>
      </c>
      <c r="Q971" t="s">
        <v>58</v>
      </c>
      <c r="R971">
        <v>2023</v>
      </c>
      <c r="S971">
        <f>IF(AND(HR_Employees[[#This Row],[Attrition]]="YES",HR_Employees[[#This Row],[Exit_Date]]&lt;&gt;""),YEAR(HR_Employees[[#This Row],[Exit_Date]]),"")</f>
        <v>2023</v>
      </c>
    </row>
    <row r="972" spans="1:19">
      <c r="A972" t="s">
        <v>1437</v>
      </c>
      <c r="B972" t="s">
        <v>997</v>
      </c>
      <c r="C972">
        <v>59</v>
      </c>
      <c r="D972" t="s">
        <v>54</v>
      </c>
      <c r="E972" t="s">
        <v>32</v>
      </c>
      <c r="F972" t="s">
        <v>40</v>
      </c>
      <c r="G972" t="s">
        <v>23</v>
      </c>
      <c r="H972" s="2">
        <v>46004</v>
      </c>
      <c r="I972" s="2" t="str">
        <f>IFERROR(VLOOKUP(HR_Employees[[#This Row],[Employee_ID]],'[1]Synthetic Exit Data'!$A$2:$E$235,4,0)," NA")</f>
        <v xml:space="preserve"> NA</v>
      </c>
      <c r="J972" t="s">
        <v>24</v>
      </c>
      <c r="K972">
        <v>1</v>
      </c>
      <c r="L972" s="3">
        <v>32237</v>
      </c>
      <c r="M972" t="s">
        <v>42</v>
      </c>
      <c r="N972" t="s">
        <v>43</v>
      </c>
      <c r="O972">
        <v>0.83</v>
      </c>
      <c r="P972" t="s">
        <v>83</v>
      </c>
      <c r="Q972" t="s">
        <v>62</v>
      </c>
      <c r="R972">
        <v>2025</v>
      </c>
      <c r="S972" t="str">
        <f>IF(AND(HR_Employees[[#This Row],[Attrition]]="YES",HR_Employees[[#This Row],[Exit_Date]]&lt;&gt;""),YEAR(HR_Employees[[#This Row],[Exit_Date]]),"")</f>
        <v/>
      </c>
    </row>
    <row r="973" spans="1:19">
      <c r="A973" t="s">
        <v>1438</v>
      </c>
      <c r="B973" t="s">
        <v>311</v>
      </c>
      <c r="C973">
        <v>49</v>
      </c>
      <c r="D973" t="s">
        <v>20</v>
      </c>
      <c r="E973" t="s">
        <v>21</v>
      </c>
      <c r="F973" t="s">
        <v>22</v>
      </c>
      <c r="G973" t="s">
        <v>33</v>
      </c>
      <c r="H973" s="2">
        <v>44421</v>
      </c>
      <c r="I973" s="2" t="str">
        <f>IFERROR(VLOOKUP(HR_Employees[[#This Row],[Employee_ID]],'[1]Synthetic Exit Data'!$A$2:$E$235,4,0)," NA")</f>
        <v xml:space="preserve"> NA</v>
      </c>
      <c r="J973" t="s">
        <v>24</v>
      </c>
      <c r="K973">
        <v>4</v>
      </c>
      <c r="L973" s="3">
        <v>22176</v>
      </c>
      <c r="M973" t="s">
        <v>82</v>
      </c>
      <c r="N973" t="s">
        <v>79</v>
      </c>
      <c r="O973">
        <v>5.17</v>
      </c>
      <c r="P973" t="s">
        <v>83</v>
      </c>
      <c r="Q973" t="s">
        <v>36</v>
      </c>
      <c r="R973">
        <v>2021</v>
      </c>
      <c r="S973" t="str">
        <f>IF(AND(HR_Employees[[#This Row],[Attrition]]="YES",HR_Employees[[#This Row],[Exit_Date]]&lt;&gt;""),YEAR(HR_Employees[[#This Row],[Exit_Date]]),"")</f>
        <v/>
      </c>
    </row>
    <row r="974" spans="1:19">
      <c r="A974" t="s">
        <v>1439</v>
      </c>
      <c r="B974" t="s">
        <v>558</v>
      </c>
      <c r="C974">
        <v>33</v>
      </c>
      <c r="D974" t="s">
        <v>31</v>
      </c>
      <c r="E974" t="s">
        <v>21</v>
      </c>
      <c r="F974" t="s">
        <v>55</v>
      </c>
      <c r="G974" t="s">
        <v>33</v>
      </c>
      <c r="H974" s="2">
        <v>41423</v>
      </c>
      <c r="I974" s="2" t="str">
        <f>IFERROR(VLOOKUP(HR_Employees[[#This Row],[Employee_ID]],'[1]Synthetic Exit Data'!$A$2:$E$235,4,0)," NA")</f>
        <v>2019-05-12</v>
      </c>
      <c r="J974" t="s">
        <v>49</v>
      </c>
      <c r="K974">
        <v>3</v>
      </c>
      <c r="L974" s="3">
        <v>19391</v>
      </c>
      <c r="M974" t="s">
        <v>82</v>
      </c>
      <c r="N974" t="s">
        <v>26</v>
      </c>
      <c r="O974">
        <v>13.33</v>
      </c>
      <c r="P974" t="s">
        <v>51</v>
      </c>
      <c r="Q974" t="s">
        <v>58</v>
      </c>
      <c r="R974">
        <v>2013</v>
      </c>
      <c r="S974">
        <f>IF(AND(HR_Employees[[#This Row],[Attrition]]="YES",HR_Employees[[#This Row],[Exit_Date]]&lt;&gt;""),YEAR(HR_Employees[[#This Row],[Exit_Date]]),"")</f>
        <v>2019</v>
      </c>
    </row>
    <row r="975" spans="1:19">
      <c r="A975" t="s">
        <v>1440</v>
      </c>
      <c r="B975" t="s">
        <v>654</v>
      </c>
      <c r="C975">
        <v>26</v>
      </c>
      <c r="D975" t="s">
        <v>31</v>
      </c>
      <c r="E975" t="s">
        <v>32</v>
      </c>
      <c r="F975" t="s">
        <v>22</v>
      </c>
      <c r="G975" t="s">
        <v>23</v>
      </c>
      <c r="H975" s="2">
        <v>43478</v>
      </c>
      <c r="I975" s="2" t="str">
        <f>IFERROR(VLOOKUP(HR_Employees[[#This Row],[Employee_ID]],'[1]Synthetic Exit Data'!$A$2:$E$235,4,0)," NA")</f>
        <v xml:space="preserve"> NA</v>
      </c>
      <c r="J975" t="s">
        <v>24</v>
      </c>
      <c r="K975">
        <v>2</v>
      </c>
      <c r="L975" s="3">
        <v>27100</v>
      </c>
      <c r="M975" t="s">
        <v>82</v>
      </c>
      <c r="N975" t="s">
        <v>79</v>
      </c>
      <c r="O975">
        <v>7.75</v>
      </c>
      <c r="P975" t="s">
        <v>35</v>
      </c>
      <c r="Q975" t="s">
        <v>58</v>
      </c>
      <c r="R975">
        <v>2019</v>
      </c>
      <c r="S975" t="str">
        <f>IF(AND(HR_Employees[[#This Row],[Attrition]]="YES",HR_Employees[[#This Row],[Exit_Date]]&lt;&gt;""),YEAR(HR_Employees[[#This Row],[Exit_Date]]),"")</f>
        <v/>
      </c>
    </row>
    <row r="976" spans="1:19">
      <c r="A976" t="s">
        <v>1441</v>
      </c>
      <c r="B976" t="s">
        <v>684</v>
      </c>
      <c r="C976">
        <v>28</v>
      </c>
      <c r="D976" t="s">
        <v>31</v>
      </c>
      <c r="E976" t="s">
        <v>32</v>
      </c>
      <c r="F976" t="s">
        <v>55</v>
      </c>
      <c r="G976" t="s">
        <v>33</v>
      </c>
      <c r="H976" s="2">
        <v>42899</v>
      </c>
      <c r="I976" s="2" t="str">
        <f>IFERROR(VLOOKUP(HR_Employees[[#This Row],[Employee_ID]],'[1]Synthetic Exit Data'!$A$2:$E$235,4,0)," NA")</f>
        <v xml:space="preserve"> NA</v>
      </c>
      <c r="J976" t="s">
        <v>24</v>
      </c>
      <c r="K976">
        <v>3</v>
      </c>
      <c r="L976" s="3">
        <v>18582</v>
      </c>
      <c r="M976" t="s">
        <v>82</v>
      </c>
      <c r="N976" t="s">
        <v>79</v>
      </c>
      <c r="O976">
        <v>9.33</v>
      </c>
      <c r="P976" t="s">
        <v>57</v>
      </c>
      <c r="Q976" t="s">
        <v>28</v>
      </c>
      <c r="R976">
        <v>2017</v>
      </c>
      <c r="S976" t="str">
        <f>IF(AND(HR_Employees[[#This Row],[Attrition]]="YES",HR_Employees[[#This Row],[Exit_Date]]&lt;&gt;""),YEAR(HR_Employees[[#This Row],[Exit_Date]]),"")</f>
        <v/>
      </c>
    </row>
    <row r="977" spans="1:19">
      <c r="A977" t="s">
        <v>1442</v>
      </c>
      <c r="B977" t="s">
        <v>377</v>
      </c>
      <c r="C977">
        <v>28</v>
      </c>
      <c r="D977" t="s">
        <v>31</v>
      </c>
      <c r="E977" t="s">
        <v>32</v>
      </c>
      <c r="F977" t="s">
        <v>40</v>
      </c>
      <c r="G977" t="s">
        <v>33</v>
      </c>
      <c r="H977" s="2">
        <v>44482</v>
      </c>
      <c r="I977" s="2" t="str">
        <f>IFERROR(VLOOKUP(HR_Employees[[#This Row],[Employee_ID]],'[1]Synthetic Exit Data'!$A$2:$E$235,4,0)," NA")</f>
        <v xml:space="preserve"> NA</v>
      </c>
      <c r="J977" t="s">
        <v>24</v>
      </c>
      <c r="K977">
        <v>3</v>
      </c>
      <c r="L977" s="3">
        <v>38974</v>
      </c>
      <c r="M977" t="s">
        <v>42</v>
      </c>
      <c r="N977" t="s">
        <v>50</v>
      </c>
      <c r="O977">
        <v>5</v>
      </c>
      <c r="P977" t="s">
        <v>27</v>
      </c>
      <c r="Q977" t="s">
        <v>58</v>
      </c>
      <c r="R977">
        <v>2021</v>
      </c>
      <c r="S977" t="str">
        <f>IF(AND(HR_Employees[[#This Row],[Attrition]]="YES",HR_Employees[[#This Row],[Exit_Date]]&lt;&gt;""),YEAR(HR_Employees[[#This Row],[Exit_Date]]),"")</f>
        <v/>
      </c>
    </row>
    <row r="978" spans="1:19">
      <c r="A978" t="s">
        <v>1443</v>
      </c>
      <c r="B978" t="s">
        <v>1444</v>
      </c>
      <c r="C978">
        <v>59</v>
      </c>
      <c r="D978" t="s">
        <v>54</v>
      </c>
      <c r="E978" t="s">
        <v>21</v>
      </c>
      <c r="F978" t="s">
        <v>55</v>
      </c>
      <c r="G978" t="s">
        <v>33</v>
      </c>
      <c r="H978" s="2">
        <v>45821</v>
      </c>
      <c r="I978" s="2" t="str">
        <f>IFERROR(VLOOKUP(HR_Employees[[#This Row],[Employee_ID]],'[1]Synthetic Exit Data'!$A$2:$E$235,4,0)," NA")</f>
        <v xml:space="preserve"> NA</v>
      </c>
      <c r="J978" t="s">
        <v>24</v>
      </c>
      <c r="K978">
        <v>4</v>
      </c>
      <c r="L978" s="3">
        <v>38227</v>
      </c>
      <c r="M978" t="s">
        <v>42</v>
      </c>
      <c r="N978" t="s">
        <v>56</v>
      </c>
      <c r="O978">
        <v>1.33</v>
      </c>
      <c r="P978" t="s">
        <v>83</v>
      </c>
      <c r="Q978" t="s">
        <v>58</v>
      </c>
      <c r="R978">
        <v>2025</v>
      </c>
      <c r="S978" t="str">
        <f>IF(AND(HR_Employees[[#This Row],[Attrition]]="YES",HR_Employees[[#This Row],[Exit_Date]]&lt;&gt;""),YEAR(HR_Employees[[#This Row],[Exit_Date]]),"")</f>
        <v/>
      </c>
    </row>
    <row r="979" spans="1:19">
      <c r="A979" t="s">
        <v>1445</v>
      </c>
      <c r="B979" t="s">
        <v>1446</v>
      </c>
      <c r="C979">
        <v>32</v>
      </c>
      <c r="D979" t="s">
        <v>31</v>
      </c>
      <c r="E979" t="s">
        <v>21</v>
      </c>
      <c r="F979" t="s">
        <v>22</v>
      </c>
      <c r="G979" t="s">
        <v>23</v>
      </c>
      <c r="H979" s="2">
        <v>45912</v>
      </c>
      <c r="I979" s="2" t="str">
        <f>IFERROR(VLOOKUP(HR_Employees[[#This Row],[Employee_ID]],'[1]Synthetic Exit Data'!$A$2:$E$235,4,0)," NA")</f>
        <v>2025-09-28</v>
      </c>
      <c r="J979" t="s">
        <v>49</v>
      </c>
      <c r="K979">
        <v>4</v>
      </c>
      <c r="L979" s="3">
        <v>48029</v>
      </c>
      <c r="M979" t="s">
        <v>42</v>
      </c>
      <c r="N979" t="s">
        <v>43</v>
      </c>
      <c r="O979">
        <v>0.92</v>
      </c>
      <c r="P979" t="s">
        <v>27</v>
      </c>
      <c r="Q979" t="s">
        <v>62</v>
      </c>
      <c r="R979">
        <v>2025</v>
      </c>
      <c r="S979">
        <f>IF(AND(HR_Employees[[#This Row],[Attrition]]="YES",HR_Employees[[#This Row],[Exit_Date]]&lt;&gt;""),YEAR(HR_Employees[[#This Row],[Exit_Date]]),"")</f>
        <v>2025</v>
      </c>
    </row>
    <row r="980" spans="1:19">
      <c r="A980" t="s">
        <v>1447</v>
      </c>
      <c r="B980" t="s">
        <v>427</v>
      </c>
      <c r="C980">
        <v>43</v>
      </c>
      <c r="D980" t="s">
        <v>61</v>
      </c>
      <c r="E980" t="s">
        <v>32</v>
      </c>
      <c r="F980" t="s">
        <v>47</v>
      </c>
      <c r="G980" t="s">
        <v>33</v>
      </c>
      <c r="H980" s="2">
        <v>44117</v>
      </c>
      <c r="I980" s="2" t="str">
        <f>IFERROR(VLOOKUP(HR_Employees[[#This Row],[Employee_ID]],'[1]Synthetic Exit Data'!$A$2:$E$235,4,0)," NA")</f>
        <v xml:space="preserve"> NA</v>
      </c>
      <c r="J980" t="s">
        <v>24</v>
      </c>
      <c r="K980">
        <v>3</v>
      </c>
      <c r="L980" s="3">
        <v>62623</v>
      </c>
      <c r="M980" t="s">
        <v>34</v>
      </c>
      <c r="N980" t="s">
        <v>79</v>
      </c>
      <c r="O980">
        <v>6</v>
      </c>
      <c r="P980" t="s">
        <v>125</v>
      </c>
      <c r="Q980" t="s">
        <v>28</v>
      </c>
      <c r="R980">
        <v>2020</v>
      </c>
      <c r="S980" t="str">
        <f>IF(AND(HR_Employees[[#This Row],[Attrition]]="YES",HR_Employees[[#This Row],[Exit_Date]]&lt;&gt;""),YEAR(HR_Employees[[#This Row],[Exit_Date]]),"")</f>
        <v/>
      </c>
    </row>
    <row r="981" spans="1:19">
      <c r="A981" t="s">
        <v>1448</v>
      </c>
      <c r="B981" t="s">
        <v>1449</v>
      </c>
      <c r="C981">
        <v>23</v>
      </c>
      <c r="D981" t="s">
        <v>39</v>
      </c>
      <c r="E981" t="s">
        <v>32</v>
      </c>
      <c r="F981" t="s">
        <v>40</v>
      </c>
      <c r="G981" t="s">
        <v>23</v>
      </c>
      <c r="H981" s="2">
        <v>43390</v>
      </c>
      <c r="I981" s="2" t="str">
        <f>IFERROR(VLOOKUP(HR_Employees[[#This Row],[Employee_ID]],'[1]Synthetic Exit Data'!$A$2:$E$235,4,0)," NA")</f>
        <v>2020-02-22</v>
      </c>
      <c r="J981" t="s">
        <v>49</v>
      </c>
      <c r="K981">
        <v>5</v>
      </c>
      <c r="L981" s="3">
        <v>56598</v>
      </c>
      <c r="M981" t="s">
        <v>34</v>
      </c>
      <c r="N981" t="s">
        <v>79</v>
      </c>
      <c r="O981">
        <v>7.83</v>
      </c>
      <c r="P981" t="s">
        <v>51</v>
      </c>
      <c r="Q981" t="s">
        <v>86</v>
      </c>
      <c r="R981">
        <v>2018</v>
      </c>
      <c r="S981">
        <f>IF(AND(HR_Employees[[#This Row],[Attrition]]="YES",HR_Employees[[#This Row],[Exit_Date]]&lt;&gt;""),YEAR(HR_Employees[[#This Row],[Exit_Date]]),"")</f>
        <v>2020</v>
      </c>
    </row>
    <row r="982" spans="1:19">
      <c r="A982" t="s">
        <v>1450</v>
      </c>
      <c r="B982" t="s">
        <v>1451</v>
      </c>
      <c r="C982">
        <v>21</v>
      </c>
      <c r="D982" t="s">
        <v>39</v>
      </c>
      <c r="E982" t="s">
        <v>32</v>
      </c>
      <c r="F982" t="s">
        <v>22</v>
      </c>
      <c r="G982" t="s">
        <v>33</v>
      </c>
      <c r="H982" s="2">
        <v>41833</v>
      </c>
      <c r="I982" s="2" t="str">
        <f>IFERROR(VLOOKUP(HR_Employees[[#This Row],[Employee_ID]],'[1]Synthetic Exit Data'!$A$2:$E$235,4,0)," NA")</f>
        <v xml:space="preserve"> NA</v>
      </c>
      <c r="J982" t="s">
        <v>24</v>
      </c>
      <c r="K982">
        <v>4</v>
      </c>
      <c r="L982" s="3">
        <v>31706</v>
      </c>
      <c r="M982" t="s">
        <v>42</v>
      </c>
      <c r="N982" t="s">
        <v>26</v>
      </c>
      <c r="O982">
        <v>12.25</v>
      </c>
      <c r="P982" t="s">
        <v>51</v>
      </c>
      <c r="Q982" t="s">
        <v>36</v>
      </c>
      <c r="R982">
        <v>2014</v>
      </c>
      <c r="S982" t="str">
        <f>IF(AND(HR_Employees[[#This Row],[Attrition]]="YES",HR_Employees[[#This Row],[Exit_Date]]&lt;&gt;""),YEAR(HR_Employees[[#This Row],[Exit_Date]]),"")</f>
        <v/>
      </c>
    </row>
    <row r="983" spans="1:19">
      <c r="A983" t="s">
        <v>1452</v>
      </c>
      <c r="B983" t="s">
        <v>749</v>
      </c>
      <c r="C983">
        <v>32</v>
      </c>
      <c r="D983" t="s">
        <v>31</v>
      </c>
      <c r="E983" t="s">
        <v>32</v>
      </c>
      <c r="F983" t="s">
        <v>151</v>
      </c>
      <c r="G983" t="s">
        <v>23</v>
      </c>
      <c r="H983" s="2">
        <v>45212</v>
      </c>
      <c r="I983" s="2" t="str">
        <f>IFERROR(VLOOKUP(HR_Employees[[#This Row],[Employee_ID]],'[1]Synthetic Exit Data'!$A$2:$E$235,4,0)," NA")</f>
        <v xml:space="preserve"> NA</v>
      </c>
      <c r="J983" t="s">
        <v>24</v>
      </c>
      <c r="K983">
        <v>4</v>
      </c>
      <c r="L983" s="3">
        <v>19171</v>
      </c>
      <c r="M983" t="s">
        <v>82</v>
      </c>
      <c r="N983" t="s">
        <v>56</v>
      </c>
      <c r="O983">
        <v>3</v>
      </c>
      <c r="P983" t="s">
        <v>27</v>
      </c>
      <c r="Q983" t="s">
        <v>58</v>
      </c>
      <c r="R983">
        <v>2023</v>
      </c>
      <c r="S983" t="str">
        <f>IF(AND(HR_Employees[[#This Row],[Attrition]]="YES",HR_Employees[[#This Row],[Exit_Date]]&lt;&gt;""),YEAR(HR_Employees[[#This Row],[Exit_Date]]),"")</f>
        <v/>
      </c>
    </row>
    <row r="984" spans="1:19">
      <c r="A984" t="s">
        <v>1453</v>
      </c>
      <c r="B984" t="s">
        <v>290</v>
      </c>
      <c r="C984">
        <v>54</v>
      </c>
      <c r="D984" t="s">
        <v>20</v>
      </c>
      <c r="E984" t="s">
        <v>21</v>
      </c>
      <c r="F984" t="s">
        <v>40</v>
      </c>
      <c r="G984" t="s">
        <v>23</v>
      </c>
      <c r="H984" s="2">
        <v>44725</v>
      </c>
      <c r="I984" s="2" t="str">
        <f>IFERROR(VLOOKUP(HR_Employees[[#This Row],[Employee_ID]],'[1]Synthetic Exit Data'!$A$2:$E$235,4,0)," NA")</f>
        <v xml:space="preserve"> NA</v>
      </c>
      <c r="J984" t="s">
        <v>24</v>
      </c>
      <c r="K984">
        <v>5</v>
      </c>
      <c r="L984" s="3">
        <v>117527</v>
      </c>
      <c r="M984" t="s">
        <v>25</v>
      </c>
      <c r="N984" t="s">
        <v>50</v>
      </c>
      <c r="O984">
        <v>4.33</v>
      </c>
      <c r="P984" t="s">
        <v>125</v>
      </c>
      <c r="Q984" t="s">
        <v>76</v>
      </c>
      <c r="R984">
        <v>2022</v>
      </c>
      <c r="S984" t="str">
        <f>IF(AND(HR_Employees[[#This Row],[Attrition]]="YES",HR_Employees[[#This Row],[Exit_Date]]&lt;&gt;""),YEAR(HR_Employees[[#This Row],[Exit_Date]]),"")</f>
        <v/>
      </c>
    </row>
    <row r="985" spans="1:19">
      <c r="A985" t="s">
        <v>1454</v>
      </c>
      <c r="B985" t="s">
        <v>153</v>
      </c>
      <c r="C985">
        <v>39</v>
      </c>
      <c r="D985" t="s">
        <v>61</v>
      </c>
      <c r="E985" t="s">
        <v>21</v>
      </c>
      <c r="F985" t="s">
        <v>55</v>
      </c>
      <c r="G985" t="s">
        <v>23</v>
      </c>
      <c r="H985" s="2">
        <v>40737</v>
      </c>
      <c r="I985" s="2" t="str">
        <f>IFERROR(VLOOKUP(HR_Employees[[#This Row],[Employee_ID]],'[1]Synthetic Exit Data'!$A$2:$E$235,4,0)," NA")</f>
        <v xml:space="preserve"> NA</v>
      </c>
      <c r="J985" t="s">
        <v>24</v>
      </c>
      <c r="K985">
        <v>3</v>
      </c>
      <c r="L985" s="3">
        <v>123891</v>
      </c>
      <c r="M985" t="s">
        <v>25</v>
      </c>
      <c r="N985" t="s">
        <v>26</v>
      </c>
      <c r="O985">
        <v>15.25</v>
      </c>
      <c r="P985" t="s">
        <v>57</v>
      </c>
      <c r="Q985" t="s">
        <v>92</v>
      </c>
      <c r="R985">
        <v>2011</v>
      </c>
      <c r="S985" t="str">
        <f>IF(AND(HR_Employees[[#This Row],[Attrition]]="YES",HR_Employees[[#This Row],[Exit_Date]]&lt;&gt;""),YEAR(HR_Employees[[#This Row],[Exit_Date]]),"")</f>
        <v/>
      </c>
    </row>
    <row r="986" spans="1:19">
      <c r="A986" t="s">
        <v>1455</v>
      </c>
      <c r="B986" t="s">
        <v>666</v>
      </c>
      <c r="C986">
        <v>38</v>
      </c>
      <c r="D986" t="s">
        <v>61</v>
      </c>
      <c r="E986" t="s">
        <v>32</v>
      </c>
      <c r="F986" t="s">
        <v>47</v>
      </c>
      <c r="G986" t="s">
        <v>41</v>
      </c>
      <c r="H986" s="2">
        <v>44664</v>
      </c>
      <c r="I986" s="2" t="str">
        <f>IFERROR(VLOOKUP(HR_Employees[[#This Row],[Employee_ID]],'[1]Synthetic Exit Data'!$A$2:$E$235,4,0)," NA")</f>
        <v xml:space="preserve"> NA</v>
      </c>
      <c r="J986" t="s">
        <v>24</v>
      </c>
      <c r="K986">
        <v>4</v>
      </c>
      <c r="L986" s="3">
        <v>81728</v>
      </c>
      <c r="M986" t="s">
        <v>66</v>
      </c>
      <c r="N986" t="s">
        <v>50</v>
      </c>
      <c r="O986">
        <v>4.5</v>
      </c>
      <c r="P986" t="s">
        <v>51</v>
      </c>
      <c r="Q986" t="s">
        <v>58</v>
      </c>
      <c r="R986">
        <v>2022</v>
      </c>
      <c r="S986" t="str">
        <f>IF(AND(HR_Employees[[#This Row],[Attrition]]="YES",HR_Employees[[#This Row],[Exit_Date]]&lt;&gt;""),YEAR(HR_Employees[[#This Row],[Exit_Date]]),"")</f>
        <v/>
      </c>
    </row>
    <row r="987" spans="1:19">
      <c r="A987" t="s">
        <v>1456</v>
      </c>
      <c r="B987" t="s">
        <v>444</v>
      </c>
      <c r="C987">
        <v>32</v>
      </c>
      <c r="D987" t="s">
        <v>31</v>
      </c>
      <c r="E987" t="s">
        <v>32</v>
      </c>
      <c r="F987" t="s">
        <v>55</v>
      </c>
      <c r="G987" t="s">
        <v>33</v>
      </c>
      <c r="H987" s="2">
        <v>45639</v>
      </c>
      <c r="I987" s="2" t="str">
        <f>IFERROR(VLOOKUP(HR_Employees[[#This Row],[Employee_ID]],'[1]Synthetic Exit Data'!$A$2:$E$235,4,0)," NA")</f>
        <v xml:space="preserve"> NA</v>
      </c>
      <c r="J987" t="s">
        <v>24</v>
      </c>
      <c r="K987">
        <v>3</v>
      </c>
      <c r="L987" s="3">
        <v>47750</v>
      </c>
      <c r="M987" t="s">
        <v>42</v>
      </c>
      <c r="N987" t="s">
        <v>56</v>
      </c>
      <c r="O987">
        <v>1.83</v>
      </c>
      <c r="P987" t="s">
        <v>57</v>
      </c>
      <c r="Q987" t="s">
        <v>92</v>
      </c>
      <c r="R987">
        <v>2024</v>
      </c>
      <c r="S987" t="str">
        <f>IF(AND(HR_Employees[[#This Row],[Attrition]]="YES",HR_Employees[[#This Row],[Exit_Date]]&lt;&gt;""),YEAR(HR_Employees[[#This Row],[Exit_Date]]),"")</f>
        <v/>
      </c>
    </row>
    <row r="988" spans="1:19">
      <c r="A988" t="s">
        <v>1457</v>
      </c>
      <c r="B988" t="s">
        <v>435</v>
      </c>
      <c r="C988">
        <v>27</v>
      </c>
      <c r="D988" t="s">
        <v>31</v>
      </c>
      <c r="E988" t="s">
        <v>32</v>
      </c>
      <c r="F988" t="s">
        <v>73</v>
      </c>
      <c r="G988" t="s">
        <v>48</v>
      </c>
      <c r="H988" s="2">
        <v>45974</v>
      </c>
      <c r="I988" s="2" t="str">
        <f>IFERROR(VLOOKUP(HR_Employees[[#This Row],[Employee_ID]],'[1]Synthetic Exit Data'!$A$2:$E$235,4,0)," NA")</f>
        <v xml:space="preserve"> NA</v>
      </c>
      <c r="J988" t="s">
        <v>24</v>
      </c>
      <c r="K988">
        <v>3</v>
      </c>
      <c r="L988" s="3">
        <v>26478</v>
      </c>
      <c r="M988" t="s">
        <v>82</v>
      </c>
      <c r="N988" t="s">
        <v>43</v>
      </c>
      <c r="O988">
        <v>0.92</v>
      </c>
      <c r="P988" t="s">
        <v>51</v>
      </c>
      <c r="Q988" t="s">
        <v>86</v>
      </c>
      <c r="R988">
        <v>2025</v>
      </c>
      <c r="S988" t="str">
        <f>IF(AND(HR_Employees[[#This Row],[Attrition]]="YES",HR_Employees[[#This Row],[Exit_Date]]&lt;&gt;""),YEAR(HR_Employees[[#This Row],[Exit_Date]]),"")</f>
        <v/>
      </c>
    </row>
    <row r="989" spans="1:19">
      <c r="A989" t="s">
        <v>1458</v>
      </c>
      <c r="B989" t="s">
        <v>630</v>
      </c>
      <c r="C989">
        <v>22</v>
      </c>
      <c r="D989" t="s">
        <v>39</v>
      </c>
      <c r="E989" t="s">
        <v>32</v>
      </c>
      <c r="F989" t="s">
        <v>65</v>
      </c>
      <c r="G989" t="s">
        <v>23</v>
      </c>
      <c r="H989" s="2">
        <v>43751</v>
      </c>
      <c r="I989" s="2" t="str">
        <f>IFERROR(VLOOKUP(HR_Employees[[#This Row],[Employee_ID]],'[1]Synthetic Exit Data'!$A$2:$E$235,4,0)," NA")</f>
        <v xml:space="preserve"> NA</v>
      </c>
      <c r="J989" t="s">
        <v>24</v>
      </c>
      <c r="K989">
        <v>3</v>
      </c>
      <c r="L989" s="3">
        <v>21117</v>
      </c>
      <c r="M989" t="s">
        <v>82</v>
      </c>
      <c r="N989" t="s">
        <v>79</v>
      </c>
      <c r="O989">
        <v>7</v>
      </c>
      <c r="P989" t="s">
        <v>35</v>
      </c>
      <c r="Q989" t="s">
        <v>28</v>
      </c>
      <c r="R989">
        <v>2019</v>
      </c>
      <c r="S989" t="str">
        <f>IF(AND(HR_Employees[[#This Row],[Attrition]]="YES",HR_Employees[[#This Row],[Exit_Date]]&lt;&gt;""),YEAR(HR_Employees[[#This Row],[Exit_Date]]),"")</f>
        <v/>
      </c>
    </row>
    <row r="990" spans="1:19">
      <c r="A990" t="s">
        <v>1459</v>
      </c>
      <c r="B990" t="s">
        <v>1460</v>
      </c>
      <c r="C990">
        <v>35</v>
      </c>
      <c r="D990" t="s">
        <v>31</v>
      </c>
      <c r="E990" t="s">
        <v>21</v>
      </c>
      <c r="F990" t="s">
        <v>47</v>
      </c>
      <c r="G990" t="s">
        <v>23</v>
      </c>
      <c r="H990" s="2">
        <v>44593</v>
      </c>
      <c r="I990" s="2" t="str">
        <f>IFERROR(VLOOKUP(HR_Employees[[#This Row],[Employee_ID]],'[1]Synthetic Exit Data'!$A$2:$E$235,4,0)," NA")</f>
        <v>2022-06-29</v>
      </c>
      <c r="J990" t="s">
        <v>49</v>
      </c>
      <c r="K990">
        <v>1</v>
      </c>
      <c r="L990" s="3">
        <v>47309</v>
      </c>
      <c r="M990" t="s">
        <v>42</v>
      </c>
      <c r="N990" t="s">
        <v>50</v>
      </c>
      <c r="O990">
        <v>4.5</v>
      </c>
      <c r="P990" t="s">
        <v>51</v>
      </c>
      <c r="Q990" t="s">
        <v>44</v>
      </c>
      <c r="R990">
        <v>2022</v>
      </c>
      <c r="S990">
        <f>IF(AND(HR_Employees[[#This Row],[Attrition]]="YES",HR_Employees[[#This Row],[Exit_Date]]&lt;&gt;""),YEAR(HR_Employees[[#This Row],[Exit_Date]]),"")</f>
        <v>2022</v>
      </c>
    </row>
    <row r="991" spans="1:19">
      <c r="A991" t="s">
        <v>1461</v>
      </c>
      <c r="B991" t="s">
        <v>386</v>
      </c>
      <c r="C991">
        <v>22</v>
      </c>
      <c r="D991" t="s">
        <v>39</v>
      </c>
      <c r="E991" t="s">
        <v>21</v>
      </c>
      <c r="F991" t="s">
        <v>40</v>
      </c>
      <c r="G991" t="s">
        <v>23</v>
      </c>
      <c r="H991" s="2">
        <v>46171</v>
      </c>
      <c r="I991" s="2" t="str">
        <f>IFERROR(VLOOKUP(HR_Employees[[#This Row],[Employee_ID]],'[1]Synthetic Exit Data'!$A$2:$E$235,4,0)," NA")</f>
        <v>2026-06-26</v>
      </c>
      <c r="J991" t="s">
        <v>49</v>
      </c>
      <c r="K991">
        <v>2</v>
      </c>
      <c r="L991" s="3">
        <v>81082</v>
      </c>
      <c r="M991" t="s">
        <v>66</v>
      </c>
      <c r="N991" t="s">
        <v>43</v>
      </c>
      <c r="O991">
        <v>0.33</v>
      </c>
      <c r="P991" t="s">
        <v>27</v>
      </c>
      <c r="Q991" t="s">
        <v>62</v>
      </c>
      <c r="R991">
        <v>2026</v>
      </c>
      <c r="S991">
        <f>IF(AND(HR_Employees[[#This Row],[Attrition]]="YES",HR_Employees[[#This Row],[Exit_Date]]&lt;&gt;""),YEAR(HR_Employees[[#This Row],[Exit_Date]]),"")</f>
        <v>2026</v>
      </c>
    </row>
    <row r="992" spans="1:19">
      <c r="A992" t="s">
        <v>1462</v>
      </c>
      <c r="B992" t="s">
        <v>676</v>
      </c>
      <c r="C992">
        <v>27</v>
      </c>
      <c r="D992" t="s">
        <v>31</v>
      </c>
      <c r="E992" t="s">
        <v>32</v>
      </c>
      <c r="F992" t="s">
        <v>55</v>
      </c>
      <c r="G992" t="s">
        <v>23</v>
      </c>
      <c r="H992" s="2">
        <v>45661</v>
      </c>
      <c r="I992" s="2" t="str">
        <f>IFERROR(VLOOKUP(HR_Employees[[#This Row],[Employee_ID]],'[1]Synthetic Exit Data'!$A$2:$E$235,4,0)," NA")</f>
        <v>2025-04-04</v>
      </c>
      <c r="J992" t="s">
        <v>49</v>
      </c>
      <c r="K992">
        <v>4</v>
      </c>
      <c r="L992" s="3">
        <v>33818</v>
      </c>
      <c r="M992" t="s">
        <v>42</v>
      </c>
      <c r="N992" t="s">
        <v>56</v>
      </c>
      <c r="O992">
        <v>1.67</v>
      </c>
      <c r="P992" t="s">
        <v>51</v>
      </c>
      <c r="Q992" t="s">
        <v>76</v>
      </c>
      <c r="R992">
        <v>2025</v>
      </c>
      <c r="S992">
        <f>IF(AND(HR_Employees[[#This Row],[Attrition]]="YES",HR_Employees[[#This Row],[Exit_Date]]&lt;&gt;""),YEAR(HR_Employees[[#This Row],[Exit_Date]]),"")</f>
        <v>2025</v>
      </c>
    </row>
    <row r="993" spans="1:19">
      <c r="A993" t="s">
        <v>1463</v>
      </c>
      <c r="B993" t="s">
        <v>503</v>
      </c>
      <c r="C993">
        <v>49</v>
      </c>
      <c r="D993" t="s">
        <v>20</v>
      </c>
      <c r="E993" t="s">
        <v>32</v>
      </c>
      <c r="F993" t="s">
        <v>55</v>
      </c>
      <c r="G993" t="s">
        <v>33</v>
      </c>
      <c r="H993" s="2">
        <v>43266</v>
      </c>
      <c r="I993" s="2" t="str">
        <f>IFERROR(VLOOKUP(HR_Employees[[#This Row],[Employee_ID]],'[1]Synthetic Exit Data'!$A$2:$E$235,4,0)," NA")</f>
        <v>2018-12-02</v>
      </c>
      <c r="J993" t="s">
        <v>49</v>
      </c>
      <c r="K993">
        <v>4</v>
      </c>
      <c r="L993" s="3">
        <v>23159</v>
      </c>
      <c r="M993" t="s">
        <v>82</v>
      </c>
      <c r="N993" t="s">
        <v>79</v>
      </c>
      <c r="O993">
        <v>8.17</v>
      </c>
      <c r="P993" t="s">
        <v>57</v>
      </c>
      <c r="Q993" t="s">
        <v>28</v>
      </c>
      <c r="R993">
        <v>2018</v>
      </c>
      <c r="S993">
        <f>IF(AND(HR_Employees[[#This Row],[Attrition]]="YES",HR_Employees[[#This Row],[Exit_Date]]&lt;&gt;""),YEAR(HR_Employees[[#This Row],[Exit_Date]]),"")</f>
        <v>2018</v>
      </c>
    </row>
    <row r="994" spans="1:19">
      <c r="A994" t="s">
        <v>1464</v>
      </c>
      <c r="B994" t="s">
        <v>1091</v>
      </c>
      <c r="C994">
        <v>33</v>
      </c>
      <c r="D994" t="s">
        <v>31</v>
      </c>
      <c r="E994" t="s">
        <v>21</v>
      </c>
      <c r="F994" t="s">
        <v>40</v>
      </c>
      <c r="G994" t="s">
        <v>33</v>
      </c>
      <c r="H994" s="2">
        <v>43380</v>
      </c>
      <c r="I994" s="2" t="str">
        <f>IFERROR(VLOOKUP(HR_Employees[[#This Row],[Employee_ID]],'[1]Synthetic Exit Data'!$A$2:$E$235,4,0)," NA")</f>
        <v>2019-11-11</v>
      </c>
      <c r="J994" t="s">
        <v>49</v>
      </c>
      <c r="K994">
        <v>3</v>
      </c>
      <c r="L994" s="3">
        <v>74730</v>
      </c>
      <c r="M994" t="s">
        <v>34</v>
      </c>
      <c r="N994" t="s">
        <v>79</v>
      </c>
      <c r="O994">
        <v>7.92</v>
      </c>
      <c r="P994" t="s">
        <v>51</v>
      </c>
      <c r="Q994" t="s">
        <v>58</v>
      </c>
      <c r="R994">
        <v>2018</v>
      </c>
      <c r="S994">
        <f>IF(AND(HR_Employees[[#This Row],[Attrition]]="YES",HR_Employees[[#This Row],[Exit_Date]]&lt;&gt;""),YEAR(HR_Employees[[#This Row],[Exit_Date]]),"")</f>
        <v>2019</v>
      </c>
    </row>
    <row r="995" spans="1:19">
      <c r="A995" t="s">
        <v>1465</v>
      </c>
      <c r="B995" t="s">
        <v>1068</v>
      </c>
      <c r="C995">
        <v>37</v>
      </c>
      <c r="D995" t="s">
        <v>61</v>
      </c>
      <c r="E995" t="s">
        <v>21</v>
      </c>
      <c r="F995" t="s">
        <v>109</v>
      </c>
      <c r="G995" t="s">
        <v>33</v>
      </c>
      <c r="H995" s="2">
        <v>44482</v>
      </c>
      <c r="I995" s="2" t="str">
        <f>IFERROR(VLOOKUP(HR_Employees[[#This Row],[Employee_ID]],'[1]Synthetic Exit Data'!$A$2:$E$235,4,0)," NA")</f>
        <v xml:space="preserve"> NA</v>
      </c>
      <c r="J995" t="s">
        <v>24</v>
      </c>
      <c r="K995">
        <v>3</v>
      </c>
      <c r="L995" s="3">
        <v>67672</v>
      </c>
      <c r="M995" t="s">
        <v>34</v>
      </c>
      <c r="N995" t="s">
        <v>50</v>
      </c>
      <c r="O995">
        <v>5</v>
      </c>
      <c r="P995" t="s">
        <v>51</v>
      </c>
      <c r="Q995" t="s">
        <v>28</v>
      </c>
      <c r="R995">
        <v>2021</v>
      </c>
      <c r="S995" t="str">
        <f>IF(AND(HR_Employees[[#This Row],[Attrition]]="YES",HR_Employees[[#This Row],[Exit_Date]]&lt;&gt;""),YEAR(HR_Employees[[#This Row],[Exit_Date]]),"")</f>
        <v/>
      </c>
    </row>
    <row r="996" spans="1:19">
      <c r="A996" t="s">
        <v>1466</v>
      </c>
      <c r="B996" t="s">
        <v>1467</v>
      </c>
      <c r="C996">
        <v>23</v>
      </c>
      <c r="D996" t="s">
        <v>39</v>
      </c>
      <c r="E996" t="s">
        <v>21</v>
      </c>
      <c r="F996" t="s">
        <v>55</v>
      </c>
      <c r="G996" t="s">
        <v>23</v>
      </c>
      <c r="H996" s="2">
        <v>44817</v>
      </c>
      <c r="I996" s="2" t="str">
        <f>IFERROR(VLOOKUP(HR_Employees[[#This Row],[Employee_ID]],'[1]Synthetic Exit Data'!$A$2:$E$235,4,0)," NA")</f>
        <v xml:space="preserve"> NA</v>
      </c>
      <c r="J996" t="s">
        <v>24</v>
      </c>
      <c r="K996">
        <v>1</v>
      </c>
      <c r="L996" s="3">
        <v>75020</v>
      </c>
      <c r="M996" t="s">
        <v>66</v>
      </c>
      <c r="N996" t="s">
        <v>50</v>
      </c>
      <c r="O996">
        <v>4.08</v>
      </c>
      <c r="P996" t="s">
        <v>35</v>
      </c>
      <c r="Q996" t="s">
        <v>28</v>
      </c>
      <c r="R996">
        <v>2022</v>
      </c>
      <c r="S996" t="str">
        <f>IF(AND(HR_Employees[[#This Row],[Attrition]]="YES",HR_Employees[[#This Row],[Exit_Date]]&lt;&gt;""),YEAR(HR_Employees[[#This Row],[Exit_Date]]),"")</f>
        <v/>
      </c>
    </row>
    <row r="997" spans="1:19">
      <c r="A997" t="s">
        <v>1468</v>
      </c>
      <c r="B997" t="s">
        <v>209</v>
      </c>
      <c r="C997">
        <v>29</v>
      </c>
      <c r="D997" t="s">
        <v>31</v>
      </c>
      <c r="E997" t="s">
        <v>21</v>
      </c>
      <c r="F997" t="s">
        <v>40</v>
      </c>
      <c r="G997" t="s">
        <v>23</v>
      </c>
      <c r="H997" s="2">
        <v>46155</v>
      </c>
      <c r="I997" s="2" t="str">
        <f>IFERROR(VLOOKUP(HR_Employees[[#This Row],[Employee_ID]],'[1]Synthetic Exit Data'!$A$2:$E$235,4,0)," NA")</f>
        <v xml:space="preserve"> NA</v>
      </c>
      <c r="J997" t="s">
        <v>24</v>
      </c>
      <c r="K997">
        <v>3</v>
      </c>
      <c r="L997" s="3">
        <v>49772</v>
      </c>
      <c r="M997" t="s">
        <v>42</v>
      </c>
      <c r="N997" t="s">
        <v>43</v>
      </c>
      <c r="O997">
        <v>0.42</v>
      </c>
      <c r="P997" t="s">
        <v>83</v>
      </c>
      <c r="Q997" t="s">
        <v>28</v>
      </c>
      <c r="R997">
        <v>2026</v>
      </c>
      <c r="S997" t="str">
        <f>IF(AND(HR_Employees[[#This Row],[Attrition]]="YES",HR_Employees[[#This Row],[Exit_Date]]&lt;&gt;""),YEAR(HR_Employees[[#This Row],[Exit_Date]]),"")</f>
        <v/>
      </c>
    </row>
    <row r="998" spans="1:19">
      <c r="A998" t="s">
        <v>1469</v>
      </c>
      <c r="B998" t="s">
        <v>775</v>
      </c>
      <c r="C998">
        <v>24</v>
      </c>
      <c r="D998" t="s">
        <v>39</v>
      </c>
      <c r="E998" t="s">
        <v>21</v>
      </c>
      <c r="F998" t="s">
        <v>40</v>
      </c>
      <c r="G998" t="s">
        <v>33</v>
      </c>
      <c r="H998" s="2">
        <v>45637</v>
      </c>
      <c r="I998" s="2" t="str">
        <f>IFERROR(VLOOKUP(HR_Employees[[#This Row],[Employee_ID]],'[1]Synthetic Exit Data'!$A$2:$E$235,4,0)," NA")</f>
        <v>2024-12-21</v>
      </c>
      <c r="J998" t="s">
        <v>49</v>
      </c>
      <c r="K998">
        <v>4</v>
      </c>
      <c r="L998" s="3">
        <v>20621</v>
      </c>
      <c r="M998" t="s">
        <v>82</v>
      </c>
      <c r="N998" t="s">
        <v>56</v>
      </c>
      <c r="O998">
        <v>1.83</v>
      </c>
      <c r="P998" t="s">
        <v>57</v>
      </c>
      <c r="Q998" t="s">
        <v>58</v>
      </c>
      <c r="R998">
        <v>2024</v>
      </c>
      <c r="S998">
        <f>IF(AND(HR_Employees[[#This Row],[Attrition]]="YES",HR_Employees[[#This Row],[Exit_Date]]&lt;&gt;""),YEAR(HR_Employees[[#This Row],[Exit_Date]]),"")</f>
        <v>2024</v>
      </c>
    </row>
    <row r="999" spans="1:19">
      <c r="A999" t="s">
        <v>1470</v>
      </c>
      <c r="B999" t="s">
        <v>576</v>
      </c>
      <c r="C999">
        <v>45</v>
      </c>
      <c r="D999" t="s">
        <v>61</v>
      </c>
      <c r="E999" t="s">
        <v>21</v>
      </c>
      <c r="F999" t="s">
        <v>65</v>
      </c>
      <c r="G999" t="s">
        <v>23</v>
      </c>
      <c r="H999" s="2">
        <v>45609</v>
      </c>
      <c r="I999" s="2" t="str">
        <f>IFERROR(VLOOKUP(HR_Employees[[#This Row],[Employee_ID]],'[1]Synthetic Exit Data'!$A$2:$E$235,4,0)," NA")</f>
        <v xml:space="preserve"> NA</v>
      </c>
      <c r="J999" t="s">
        <v>24</v>
      </c>
      <c r="K999">
        <v>4</v>
      </c>
      <c r="L999" s="3">
        <v>29177</v>
      </c>
      <c r="M999" t="s">
        <v>82</v>
      </c>
      <c r="N999" t="s">
        <v>56</v>
      </c>
      <c r="O999">
        <v>1.92</v>
      </c>
      <c r="P999" t="s">
        <v>51</v>
      </c>
      <c r="Q999" t="s">
        <v>92</v>
      </c>
      <c r="R999">
        <v>2024</v>
      </c>
      <c r="S999" t="str">
        <f>IF(AND(HR_Employees[[#This Row],[Attrition]]="YES",HR_Employees[[#This Row],[Exit_Date]]&lt;&gt;""),YEAR(HR_Employees[[#This Row],[Exit_Date]]),"")</f>
        <v/>
      </c>
    </row>
    <row r="1000" spans="1:19">
      <c r="A1000" t="s">
        <v>1471</v>
      </c>
      <c r="B1000" t="s">
        <v>393</v>
      </c>
      <c r="C1000">
        <v>48</v>
      </c>
      <c r="D1000" t="s">
        <v>20</v>
      </c>
      <c r="E1000" t="s">
        <v>21</v>
      </c>
      <c r="F1000" t="s">
        <v>55</v>
      </c>
      <c r="G1000" t="s">
        <v>23</v>
      </c>
      <c r="H1000" s="2">
        <v>44469</v>
      </c>
      <c r="I1000" s="2" t="str">
        <f>IFERROR(VLOOKUP(HR_Employees[[#This Row],[Employee_ID]],'[1]Synthetic Exit Data'!$A$2:$E$235,4,0)," NA")</f>
        <v>2021-12-10</v>
      </c>
      <c r="J1000" t="s">
        <v>49</v>
      </c>
      <c r="K1000">
        <v>4</v>
      </c>
      <c r="L1000" s="3">
        <v>93570</v>
      </c>
      <c r="M1000" t="s">
        <v>66</v>
      </c>
      <c r="N1000" t="s">
        <v>50</v>
      </c>
      <c r="O1000">
        <v>4.92</v>
      </c>
      <c r="P1000" t="s">
        <v>35</v>
      </c>
      <c r="Q1000" t="s">
        <v>58</v>
      </c>
      <c r="R1000">
        <v>2021</v>
      </c>
      <c r="S1000">
        <f>IF(AND(HR_Employees[[#This Row],[Attrition]]="YES",HR_Employees[[#This Row],[Exit_Date]]&lt;&gt;""),YEAR(HR_Employees[[#This Row],[Exit_Date]]),"")</f>
        <v>2021</v>
      </c>
    </row>
    <row r="1001" spans="1:19">
      <c r="A1001" t="s">
        <v>1472</v>
      </c>
      <c r="B1001" t="s">
        <v>1473</v>
      </c>
      <c r="C1001">
        <v>62</v>
      </c>
      <c r="D1001" t="s">
        <v>54</v>
      </c>
      <c r="E1001" t="s">
        <v>32</v>
      </c>
      <c r="F1001" t="s">
        <v>109</v>
      </c>
      <c r="G1001" t="s">
        <v>23</v>
      </c>
      <c r="H1001" s="2">
        <v>41073</v>
      </c>
      <c r="I1001" s="2" t="str">
        <f>IFERROR(VLOOKUP(HR_Employees[[#This Row],[Employee_ID]],'[1]Synthetic Exit Data'!$A$2:$E$235,4,0)," NA")</f>
        <v xml:space="preserve"> NA</v>
      </c>
      <c r="J1001" t="s">
        <v>24</v>
      </c>
      <c r="K1001">
        <v>5</v>
      </c>
      <c r="L1001" s="3">
        <v>64103</v>
      </c>
      <c r="M1001" t="s">
        <v>34</v>
      </c>
      <c r="N1001" t="s">
        <v>26</v>
      </c>
      <c r="O1001">
        <v>14.33</v>
      </c>
      <c r="P1001" t="s">
        <v>51</v>
      </c>
      <c r="Q1001" t="s">
        <v>62</v>
      </c>
      <c r="R1001">
        <v>2012</v>
      </c>
      <c r="S1001" t="str">
        <f>IF(AND(HR_Employees[[#This Row],[Attrition]]="YES",HR_Employees[[#This Row],[Exit_Date]]&lt;&gt;""),YEAR(HR_Employees[[#This Row],[Exit_Date]]),"")</f>
        <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A21" zoomScale="71" zoomScaleNormal="71" zoomScaleSheetLayoutView="37" workbookViewId="0">
      <selection activeCell="Y13" sqref="Y13"/>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Sheet2</vt:lpstr>
      <vt:lpstr>Sheet1</vt:lpstr>
      <vt:lpstr>Sheet5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2026-10-13T14:29:04Z</dcterms:created>
  <dcterms:modified xsi:type="dcterms:W3CDTF">2026-10-20T11:37:53Z</dcterms:modified>
</cp:coreProperties>
</file>